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qkl5094_psu_edu/Documents/2023/10162023/"/>
    </mc:Choice>
  </mc:AlternateContent>
  <xr:revisionPtr revIDLastSave="25" documentId="8_{C904B994-0FC6-4A87-9619-B4CB3B9BD98B}" xr6:coauthVersionLast="47" xr6:coauthVersionMax="47" xr10:uidLastSave="{48C4428F-A61E-46A8-869F-53187866FDE1}"/>
  <bookViews>
    <workbookView xWindow="-110" yWindow="-110" windowWidth="38620" windowHeight="21220" xr2:uid="{00000000-000D-0000-FFFF-FFFF00000000}"/>
  </bookViews>
  <sheets>
    <sheet name="PSP linkage" sheetId="1" r:id="rId1"/>
  </sheets>
  <definedNames>
    <definedName name="_xlnm.Print_Area" localSheetId="0">'PSP linkage'!$A$1:$AT$46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" i="1" l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J37" i="1" l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A47" i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</calcChain>
</file>

<file path=xl/sharedStrings.xml><?xml version="1.0" encoding="utf-8"?>
<sst xmlns="http://schemas.openxmlformats.org/spreadsheetml/2006/main" count="73" uniqueCount="41">
  <si>
    <t>Processing Data</t>
  </si>
  <si>
    <t>Structural data</t>
  </si>
  <si>
    <t>Mechanical Property Data</t>
  </si>
  <si>
    <t>Parameter Set</t>
  </si>
  <si>
    <t>Processing Parameters</t>
  </si>
  <si>
    <t>Unaxial Tensile (UT) Test</t>
  </si>
  <si>
    <t>Porosity (%)</t>
  </si>
  <si>
    <t>Yield Strength  (MPa)</t>
  </si>
  <si>
    <t>Young's Modulus E (GPa)</t>
  </si>
  <si>
    <t>Power P (W)</t>
  </si>
  <si>
    <t>PV (W*m/s)</t>
  </si>
  <si>
    <t xml:space="preserve">Mean Value </t>
  </si>
  <si>
    <t>Standard Deviation</t>
  </si>
  <si>
    <t>Mean Value</t>
  </si>
  <si>
    <t>Ultimate Tensile Strength (MPa)</t>
  </si>
  <si>
    <t>Hatch Spacing h (mm)</t>
  </si>
  <si>
    <t>Speed v (mm/s)</t>
  </si>
  <si>
    <t>Layer Thickness t (mm)</t>
  </si>
  <si>
    <t>VED (J/mm3)</t>
  </si>
  <si>
    <t>LED (J/mm)</t>
  </si>
  <si>
    <t>P-V process features</t>
  </si>
  <si>
    <t>Ductility, elongation to fracture (%)</t>
  </si>
  <si>
    <t>Archimedes</t>
  </si>
  <si>
    <t>MED P/(v)^0.5</t>
  </si>
  <si>
    <t>Equivalent Diameter (um)</t>
  </si>
  <si>
    <t>Circularity</t>
  </si>
  <si>
    <t>Eccentricity</t>
  </si>
  <si>
    <t>X-ray tomography (voxel size=10 μm)</t>
  </si>
  <si>
    <t>Pore sphericity</t>
  </si>
  <si>
    <t>Surface roughness</t>
  </si>
  <si>
    <t>RMS value</t>
  </si>
  <si>
    <t>Avg value</t>
  </si>
  <si>
    <t>Pore equivalent Diameter (μm)</t>
  </si>
  <si>
    <t>Vol Mean</t>
  </si>
  <si>
    <t>EBSD grain morphology</t>
  </si>
  <si>
    <t>SEM cell scan</t>
  </si>
  <si>
    <t>Vol-mean Value</t>
  </si>
  <si>
    <t>Vol std</t>
  </si>
  <si>
    <t>Vicker Hardness Test</t>
  </si>
  <si>
    <t>Small hatch spacing group (set 1 to 32)</t>
  </si>
  <si>
    <t>Large hatch spacing group (set 33 to 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</si>
</sst>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"/>
    <numFmt numFmtId="165" formatCode="0.00_ "/>
    <numFmt numFmtId="166" formatCode="0.00000"/>
    <numFmt numFmtId="167" formatCode="0.0000"/>
  </numFmts>
  <fonts count="10">
    <font>
      <sz val="12"/>
      <color theme="1"/>
      <name val="Calibri"/>
      <charset val="134"/>
      <scheme val="minor"/>
    </font>
    <font>
      <sz val="11"/>
      <name val="Arial"/>
      <family val="2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Arial Nova Light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6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EAEAE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medium">
        <color auto="1"/>
      </right>
      <top style="thin">
        <color rgb="FFB2B2B2"/>
      </top>
      <bottom style="thin">
        <color rgb="FFB2B2B2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" fillId="3" borderId="15" applyNumberFormat="0" applyFont="0" applyAlignment="0" applyProtection="0"/>
  </cellStyleXfs>
  <cellXfs count="195">
    <xf numFmtId="0" fontId="0" fillId="0" borderId="0" xfId="0">
      <alignment vertical="center"/>
    </xf>
    <xf numFmtId="0" fontId="1" fillId="0" borderId="0" xfId="0" applyFont="1">
      <alignment vertical="center"/>
    </xf>
    <xf numFmtId="164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67" fontId="6" fillId="0" borderId="0" xfId="0" applyNumberFormat="1" applyFont="1">
      <alignment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 wrapText="1"/>
    </xf>
    <xf numFmtId="167" fontId="1" fillId="0" borderId="5" xfId="0" applyNumberFormat="1" applyFont="1" applyBorder="1" applyAlignment="1">
      <alignment horizontal="center" vertical="center"/>
    </xf>
    <xf numFmtId="167" fontId="1" fillId="0" borderId="6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1" fontId="1" fillId="0" borderId="1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 wrapText="1"/>
    </xf>
    <xf numFmtId="167" fontId="1" fillId="0" borderId="7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12" xfId="1" applyNumberFormat="1" applyFont="1" applyFill="1" applyBorder="1" applyAlignment="1">
      <alignment horizontal="center" vertical="center"/>
    </xf>
    <xf numFmtId="1" fontId="1" fillId="0" borderId="12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2" fontId="8" fillId="0" borderId="11" xfId="0" applyNumberFormat="1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2" fontId="7" fillId="0" borderId="2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167" fontId="7" fillId="0" borderId="2" xfId="0" applyNumberFormat="1" applyFont="1" applyBorder="1" applyAlignment="1">
      <alignment horizontal="center" vertical="center" wrapText="1"/>
    </xf>
    <xf numFmtId="167" fontId="7" fillId="0" borderId="3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2" fontId="7" fillId="0" borderId="11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2" fontId="1" fillId="0" borderId="7" xfId="0" applyNumberFormat="1" applyFont="1" applyFill="1" applyBorder="1" applyAlignment="1">
      <alignment horizontal="center" vertical="center" wrapText="1"/>
    </xf>
    <xf numFmtId="1" fontId="1" fillId="0" borderId="13" xfId="0" applyNumberFormat="1" applyFont="1" applyFill="1" applyBorder="1" applyAlignment="1">
      <alignment horizontal="center" vertical="center" wrapText="1"/>
    </xf>
    <xf numFmtId="2" fontId="1" fillId="0" borderId="7" xfId="0" applyNumberFormat="1" applyFont="1" applyFill="1" applyBorder="1" applyAlignment="1">
      <alignment horizontal="center" vertical="center"/>
    </xf>
    <xf numFmtId="2" fontId="1" fillId="0" borderId="13" xfId="0" applyNumberFormat="1" applyFont="1" applyFill="1" applyBorder="1" applyAlignment="1">
      <alignment horizontal="center" vertical="center"/>
    </xf>
    <xf numFmtId="167" fontId="1" fillId="0" borderId="13" xfId="0" applyNumberFormat="1" applyFont="1" applyFill="1" applyBorder="1" applyAlignment="1">
      <alignment horizontal="center" vertical="center" wrapText="1"/>
    </xf>
    <xf numFmtId="2" fontId="1" fillId="0" borderId="13" xfId="0" applyNumberFormat="1" applyFont="1" applyFill="1" applyBorder="1" applyAlignment="1">
      <alignment horizontal="center" vertical="center" wrapText="1"/>
    </xf>
    <xf numFmtId="167" fontId="1" fillId="0" borderId="7" xfId="0" applyNumberFormat="1" applyFont="1" applyFill="1" applyBorder="1" applyAlignment="1">
      <alignment horizontal="center" vertical="center"/>
    </xf>
    <xf numFmtId="167" fontId="1" fillId="0" borderId="13" xfId="0" applyNumberFormat="1" applyFont="1" applyFill="1" applyBorder="1" applyAlignment="1">
      <alignment horizontal="center" vertical="center"/>
    </xf>
    <xf numFmtId="1" fontId="1" fillId="0" borderId="7" xfId="0" applyNumberFormat="1" applyFont="1" applyFill="1" applyBorder="1" applyAlignment="1">
      <alignment horizontal="center" vertical="center"/>
    </xf>
    <xf numFmtId="1" fontId="1" fillId="0" borderId="13" xfId="0" applyNumberFormat="1" applyFont="1" applyFill="1" applyBorder="1" applyAlignment="1">
      <alignment horizontal="center" vertical="center"/>
    </xf>
    <xf numFmtId="165" fontId="1" fillId="0" borderId="7" xfId="0" applyNumberFormat="1" applyFont="1" applyFill="1" applyBorder="1" applyAlignment="1">
      <alignment horizontal="center" vertical="center"/>
    </xf>
    <xf numFmtId="165" fontId="1" fillId="0" borderId="13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64" fontId="1" fillId="0" borderId="7" xfId="0" applyNumberFormat="1" applyFont="1" applyFill="1" applyBorder="1" applyAlignment="1">
      <alignment horizontal="center" vertical="center"/>
    </xf>
    <xf numFmtId="164" fontId="1" fillId="0" borderId="13" xfId="0" applyNumberFormat="1" applyFont="1" applyFill="1" applyBorder="1" applyAlignment="1">
      <alignment horizontal="center" vertical="center"/>
    </xf>
    <xf numFmtId="1" fontId="8" fillId="0" borderId="13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2" fontId="7" fillId="0" borderId="7" xfId="0" applyNumberFormat="1" applyFont="1" applyFill="1" applyBorder="1" applyAlignment="1">
      <alignment horizontal="center" vertical="center" wrapText="1"/>
    </xf>
    <xf numFmtId="1" fontId="7" fillId="0" borderId="13" xfId="0" applyNumberFormat="1" applyFont="1" applyFill="1" applyBorder="1" applyAlignment="1">
      <alignment horizontal="center" vertical="center" wrapText="1"/>
    </xf>
    <xf numFmtId="167" fontId="7" fillId="0" borderId="13" xfId="0" applyNumberFormat="1" applyFont="1" applyFill="1" applyBorder="1" applyAlignment="1">
      <alignment horizontal="center" vertical="center" wrapText="1"/>
    </xf>
    <xf numFmtId="2" fontId="7" fillId="0" borderId="13" xfId="0" applyNumberFormat="1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2" fontId="7" fillId="0" borderId="9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Fill="1" applyBorder="1" applyAlignment="1">
      <alignment horizontal="center" vertical="center" wrapText="1"/>
    </xf>
    <xf numFmtId="1" fontId="1" fillId="0" borderId="14" xfId="0" applyNumberFormat="1" applyFont="1" applyFill="1" applyBorder="1" applyAlignment="1">
      <alignment horizontal="center" vertical="center" wrapText="1"/>
    </xf>
    <xf numFmtId="1" fontId="7" fillId="0" borderId="10" xfId="0" applyNumberFormat="1" applyFont="1" applyFill="1" applyBorder="1" applyAlignment="1">
      <alignment horizontal="center" vertical="center" wrapText="1"/>
    </xf>
    <xf numFmtId="2" fontId="1" fillId="0" borderId="9" xfId="0" applyNumberFormat="1" applyFont="1" applyFill="1" applyBorder="1" applyAlignment="1">
      <alignment horizontal="center" vertical="center"/>
    </xf>
    <xf numFmtId="2" fontId="1" fillId="0" borderId="14" xfId="0" applyNumberFormat="1" applyFont="1" applyFill="1" applyBorder="1" applyAlignment="1">
      <alignment horizontal="center" vertical="center"/>
    </xf>
    <xf numFmtId="2" fontId="1" fillId="0" borderId="10" xfId="0" applyNumberFormat="1" applyFont="1" applyFill="1" applyBorder="1" applyAlignment="1">
      <alignment horizontal="center" vertical="center"/>
    </xf>
    <xf numFmtId="167" fontId="7" fillId="0" borderId="14" xfId="0" applyNumberFormat="1" applyFont="1" applyFill="1" applyBorder="1" applyAlignment="1">
      <alignment horizontal="center" vertical="center" wrapText="1"/>
    </xf>
    <xf numFmtId="167" fontId="1" fillId="0" borderId="14" xfId="0" applyNumberFormat="1" applyFont="1" applyFill="1" applyBorder="1" applyAlignment="1">
      <alignment horizontal="center" vertical="center"/>
    </xf>
    <xf numFmtId="167" fontId="7" fillId="0" borderId="10" xfId="0" applyNumberFormat="1" applyFont="1" applyFill="1" applyBorder="1" applyAlignment="1">
      <alignment horizontal="center" vertical="center" wrapText="1"/>
    </xf>
    <xf numFmtId="2" fontId="7" fillId="0" borderId="10" xfId="0" applyNumberFormat="1" applyFont="1" applyFill="1" applyBorder="1" applyAlignment="1">
      <alignment horizontal="center" vertical="center" wrapText="1"/>
    </xf>
    <xf numFmtId="167" fontId="1" fillId="0" borderId="9" xfId="0" applyNumberFormat="1" applyFont="1" applyFill="1" applyBorder="1" applyAlignment="1">
      <alignment horizontal="center" vertical="center"/>
    </xf>
    <xf numFmtId="167" fontId="1" fillId="0" borderId="10" xfId="0" applyNumberFormat="1" applyFont="1" applyFill="1" applyBorder="1" applyAlignment="1">
      <alignment horizontal="center" vertical="center"/>
    </xf>
    <xf numFmtId="164" fontId="1" fillId="0" borderId="9" xfId="0" applyNumberFormat="1" applyFont="1" applyFill="1" applyBorder="1" applyAlignment="1">
      <alignment horizontal="center" vertical="center"/>
    </xf>
    <xf numFmtId="164" fontId="1" fillId="0" borderId="10" xfId="0" applyNumberFormat="1" applyFont="1" applyFill="1" applyBorder="1" applyAlignment="1">
      <alignment horizontal="center" vertical="center"/>
    </xf>
    <xf numFmtId="164" fontId="1" fillId="0" borderId="14" xfId="0" applyNumberFormat="1" applyFont="1" applyFill="1" applyBorder="1" applyAlignment="1">
      <alignment horizontal="center" vertical="center"/>
    </xf>
    <xf numFmtId="1" fontId="1" fillId="0" borderId="9" xfId="0" applyNumberFormat="1" applyFont="1" applyFill="1" applyBorder="1" applyAlignment="1">
      <alignment horizontal="center" vertical="center"/>
    </xf>
    <xf numFmtId="1" fontId="1" fillId="0" borderId="10" xfId="0" applyNumberFormat="1" applyFont="1" applyFill="1" applyBorder="1" applyAlignment="1">
      <alignment horizontal="center" vertical="center"/>
    </xf>
    <xf numFmtId="165" fontId="1" fillId="0" borderId="9" xfId="0" applyNumberFormat="1" applyFont="1" applyFill="1" applyBorder="1" applyAlignment="1">
      <alignment horizontal="center" vertical="center"/>
    </xf>
    <xf numFmtId="165" fontId="1" fillId="0" borderId="10" xfId="0" applyNumberFormat="1" applyFont="1" applyFill="1" applyBorder="1" applyAlignment="1">
      <alignment horizontal="center" vertical="center"/>
    </xf>
    <xf numFmtId="1" fontId="8" fillId="0" borderId="14" xfId="0" applyNumberFormat="1" applyFont="1" applyFill="1" applyBorder="1" applyAlignment="1">
      <alignment horizontal="center" vertical="center"/>
    </xf>
    <xf numFmtId="1" fontId="8" fillId="0" borderId="10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1" fontId="1" fillId="0" borderId="11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/>
    </xf>
    <xf numFmtId="2" fontId="1" fillId="0" borderId="11" xfId="0" applyNumberFormat="1" applyFon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167" fontId="1" fillId="0" borderId="11" xfId="0" applyNumberFormat="1" applyFont="1" applyFill="1" applyBorder="1" applyAlignment="1">
      <alignment horizontal="center" vertical="center" wrapText="1"/>
    </xf>
    <xf numFmtId="167" fontId="1" fillId="0" borderId="11" xfId="0" applyNumberFormat="1" applyFont="1" applyFill="1" applyBorder="1" applyAlignment="1">
      <alignment horizontal="center" vertical="center"/>
    </xf>
    <xf numFmtId="167" fontId="1" fillId="0" borderId="6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167" fontId="1" fillId="0" borderId="5" xfId="0" applyNumberFormat="1" applyFont="1" applyFill="1" applyBorder="1" applyAlignment="1">
      <alignment horizontal="center" vertical="center"/>
    </xf>
    <xf numFmtId="167" fontId="1" fillId="0" borderId="6" xfId="0" applyNumberFormat="1" applyFont="1" applyFill="1" applyBorder="1" applyAlignment="1">
      <alignment horizontal="center" vertical="center"/>
    </xf>
    <xf numFmtId="1" fontId="1" fillId="0" borderId="5" xfId="0" applyNumberFormat="1" applyFont="1" applyFill="1" applyBorder="1" applyAlignment="1">
      <alignment horizontal="center" vertical="center"/>
    </xf>
    <xf numFmtId="1" fontId="1" fillId="0" borderId="6" xfId="0" applyNumberFormat="1" applyFont="1" applyFill="1" applyBorder="1" applyAlignment="1">
      <alignment horizontal="center" vertical="center"/>
    </xf>
    <xf numFmtId="164" fontId="1" fillId="0" borderId="11" xfId="0" applyNumberFormat="1" applyFont="1" applyFill="1" applyBorder="1" applyAlignment="1">
      <alignment horizontal="center" vertical="center"/>
    </xf>
    <xf numFmtId="165" fontId="1" fillId="0" borderId="5" xfId="0" applyNumberFormat="1" applyFont="1" applyFill="1" applyBorder="1" applyAlignment="1">
      <alignment horizontal="center" vertical="center"/>
    </xf>
    <xf numFmtId="165" fontId="1" fillId="0" borderId="6" xfId="0" applyNumberFormat="1" applyFont="1" applyFill="1" applyBorder="1" applyAlignment="1">
      <alignment horizontal="center" vertical="center"/>
    </xf>
    <xf numFmtId="1" fontId="1" fillId="0" borderId="1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Fill="1" applyBorder="1" applyAlignment="1">
      <alignment horizontal="center" vertical="center"/>
    </xf>
    <xf numFmtId="167" fontId="1" fillId="0" borderId="0" xfId="0" applyNumberFormat="1" applyFont="1" applyFill="1" applyBorder="1" applyAlignment="1">
      <alignment horizontal="center" vertical="center" wrapText="1"/>
    </xf>
    <xf numFmtId="167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1" fontId="7" fillId="0" borderId="0" xfId="0" applyNumberFormat="1" applyFont="1" applyFill="1" applyBorder="1" applyAlignment="1">
      <alignment horizontal="center" vertical="center" wrapText="1"/>
    </xf>
    <xf numFmtId="167" fontId="7" fillId="0" borderId="0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EEAEAE"/>
      <color rgb="FF00CBFF"/>
      <color rgb="FF9B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2"/>
  <sheetViews>
    <sheetView tabSelected="1" zoomScale="115" zoomScaleNormal="115" workbookViewId="0">
      <selection activeCell="D21" sqref="D21"/>
    </sheetView>
  </sheetViews>
  <sheetFormatPr defaultColWidth="11" defaultRowHeight="14"/>
  <cols>
    <col min="1" max="1" width="6.6640625" style="5" customWidth="1"/>
    <col min="2" max="2" width="13.33203125" style="5" customWidth="1"/>
    <col min="3" max="10" width="17.5" style="6" customWidth="1"/>
    <col min="11" max="14" width="15" style="1" customWidth="1"/>
    <col min="15" max="32" width="15" style="7" customWidth="1"/>
    <col min="33" max="34" width="15" style="5" customWidth="1"/>
    <col min="35" max="36" width="15" style="1" customWidth="1"/>
    <col min="37" max="40" width="15" style="8" customWidth="1"/>
    <col min="41" max="44" width="15" style="9" customWidth="1"/>
    <col min="45" max="46" width="15" style="4" customWidth="1"/>
    <col min="47" max="16384" width="11" style="4"/>
  </cols>
  <sheetData>
    <row r="1" spans="1:46" ht="30" customHeight="1" thickBot="1">
      <c r="A1" s="84" t="s">
        <v>0</v>
      </c>
      <c r="B1" s="85"/>
      <c r="C1" s="85"/>
      <c r="D1" s="85"/>
      <c r="E1" s="85"/>
      <c r="F1" s="85"/>
      <c r="G1" s="85"/>
      <c r="H1" s="85"/>
      <c r="I1" s="85"/>
      <c r="J1" s="86"/>
      <c r="K1" s="68" t="s">
        <v>1</v>
      </c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70"/>
      <c r="AK1" s="87" t="s">
        <v>2</v>
      </c>
      <c r="AL1" s="88"/>
      <c r="AM1" s="88"/>
      <c r="AN1" s="88"/>
      <c r="AO1" s="88"/>
      <c r="AP1" s="88"/>
      <c r="AQ1" s="88"/>
      <c r="AR1" s="88"/>
      <c r="AS1" s="88"/>
      <c r="AT1" s="89"/>
    </row>
    <row r="2" spans="1:46" ht="22.5" customHeight="1" thickBot="1">
      <c r="A2" s="181" t="s">
        <v>3</v>
      </c>
      <c r="B2" s="192"/>
      <c r="C2" s="92" t="s">
        <v>4</v>
      </c>
      <c r="D2" s="92"/>
      <c r="E2" s="92"/>
      <c r="F2" s="93"/>
      <c r="G2" s="91" t="s">
        <v>20</v>
      </c>
      <c r="H2" s="92"/>
      <c r="I2" s="92"/>
      <c r="J2" s="92"/>
      <c r="K2" s="71" t="s">
        <v>29</v>
      </c>
      <c r="L2" s="72"/>
      <c r="M2" s="72"/>
      <c r="N2" s="73"/>
      <c r="O2" s="72" t="s">
        <v>34</v>
      </c>
      <c r="P2" s="72"/>
      <c r="Q2" s="72"/>
      <c r="R2" s="72"/>
      <c r="S2" s="72"/>
      <c r="T2" s="72"/>
      <c r="U2" s="72"/>
      <c r="V2" s="72"/>
      <c r="W2" s="72"/>
      <c r="X2" s="71" t="s">
        <v>35</v>
      </c>
      <c r="Y2" s="72"/>
      <c r="Z2" s="71" t="s">
        <v>27</v>
      </c>
      <c r="AA2" s="72"/>
      <c r="AB2" s="72"/>
      <c r="AC2" s="72"/>
      <c r="AD2" s="72"/>
      <c r="AE2" s="72"/>
      <c r="AF2" s="72"/>
      <c r="AG2" s="72"/>
      <c r="AH2" s="72"/>
      <c r="AI2" s="71" t="s">
        <v>22</v>
      </c>
      <c r="AJ2" s="73"/>
      <c r="AK2" s="91" t="s">
        <v>38</v>
      </c>
      <c r="AL2" s="93"/>
      <c r="AM2" s="76" t="s">
        <v>5</v>
      </c>
      <c r="AN2" s="90"/>
      <c r="AO2" s="90"/>
      <c r="AP2" s="90"/>
      <c r="AQ2" s="90"/>
      <c r="AR2" s="90"/>
      <c r="AS2" s="90"/>
      <c r="AT2" s="77"/>
    </row>
    <row r="3" spans="1:46" ht="22.5" customHeight="1" thickBot="1">
      <c r="A3" s="182"/>
      <c r="B3" s="193"/>
      <c r="C3" s="190"/>
      <c r="D3" s="190"/>
      <c r="E3" s="190"/>
      <c r="F3" s="191"/>
      <c r="G3" s="96"/>
      <c r="H3" s="97"/>
      <c r="I3" s="97"/>
      <c r="J3" s="97"/>
      <c r="K3" s="66" t="s">
        <v>31</v>
      </c>
      <c r="L3" s="67"/>
      <c r="M3" s="66" t="s">
        <v>30</v>
      </c>
      <c r="N3" s="67"/>
      <c r="O3" s="78" t="s">
        <v>24</v>
      </c>
      <c r="P3" s="81"/>
      <c r="Q3" s="80"/>
      <c r="R3" s="82" t="s">
        <v>25</v>
      </c>
      <c r="S3" s="83"/>
      <c r="T3" s="83"/>
      <c r="U3" s="78" t="s">
        <v>26</v>
      </c>
      <c r="V3" s="79"/>
      <c r="W3" s="80"/>
      <c r="X3" s="74" t="s">
        <v>24</v>
      </c>
      <c r="Y3" s="75"/>
      <c r="Z3" s="72" t="s">
        <v>28</v>
      </c>
      <c r="AA3" s="72"/>
      <c r="AB3" s="73"/>
      <c r="AC3" s="71" t="s">
        <v>32</v>
      </c>
      <c r="AD3" s="72"/>
      <c r="AE3" s="72"/>
      <c r="AF3" s="63"/>
      <c r="AG3" s="66" t="s">
        <v>6</v>
      </c>
      <c r="AH3" s="67"/>
      <c r="AI3" s="66" t="s">
        <v>6</v>
      </c>
      <c r="AJ3" s="67"/>
      <c r="AK3" s="94"/>
      <c r="AL3" s="95"/>
      <c r="AM3" s="76" t="s">
        <v>14</v>
      </c>
      <c r="AN3" s="77"/>
      <c r="AO3" s="76" t="s">
        <v>7</v>
      </c>
      <c r="AP3" s="77"/>
      <c r="AQ3" s="76" t="s">
        <v>21</v>
      </c>
      <c r="AR3" s="77"/>
      <c r="AS3" s="76" t="s">
        <v>8</v>
      </c>
      <c r="AT3" s="77"/>
    </row>
    <row r="4" spans="1:46" ht="30" customHeight="1" thickBot="1">
      <c r="A4" s="183"/>
      <c r="B4" s="194"/>
      <c r="C4" s="47" t="s">
        <v>9</v>
      </c>
      <c r="D4" s="47" t="s">
        <v>16</v>
      </c>
      <c r="E4" s="47" t="s">
        <v>17</v>
      </c>
      <c r="F4" s="47" t="s">
        <v>15</v>
      </c>
      <c r="G4" s="54" t="s">
        <v>19</v>
      </c>
      <c r="H4" s="55" t="s">
        <v>18</v>
      </c>
      <c r="I4" s="55" t="s">
        <v>23</v>
      </c>
      <c r="J4" s="56" t="s">
        <v>10</v>
      </c>
      <c r="K4" s="57" t="s">
        <v>11</v>
      </c>
      <c r="L4" s="58" t="s">
        <v>12</v>
      </c>
      <c r="M4" s="57" t="s">
        <v>11</v>
      </c>
      <c r="N4" s="58" t="s">
        <v>12</v>
      </c>
      <c r="O4" s="57" t="s">
        <v>11</v>
      </c>
      <c r="P4" s="59" t="s">
        <v>36</v>
      </c>
      <c r="Q4" s="60" t="s">
        <v>12</v>
      </c>
      <c r="R4" s="57" t="s">
        <v>11</v>
      </c>
      <c r="S4" s="59" t="s">
        <v>36</v>
      </c>
      <c r="T4" s="60" t="s">
        <v>12</v>
      </c>
      <c r="U4" s="57" t="s">
        <v>11</v>
      </c>
      <c r="V4" s="59" t="s">
        <v>36</v>
      </c>
      <c r="W4" s="60" t="s">
        <v>12</v>
      </c>
      <c r="X4" s="57" t="s">
        <v>13</v>
      </c>
      <c r="Y4" s="60" t="s">
        <v>12</v>
      </c>
      <c r="Z4" s="59" t="s">
        <v>11</v>
      </c>
      <c r="AA4" s="59" t="s">
        <v>33</v>
      </c>
      <c r="AB4" s="60" t="s">
        <v>12</v>
      </c>
      <c r="AC4" s="59" t="s">
        <v>11</v>
      </c>
      <c r="AD4" s="60" t="s">
        <v>12</v>
      </c>
      <c r="AE4" s="60" t="s">
        <v>33</v>
      </c>
      <c r="AF4" s="59" t="s">
        <v>37</v>
      </c>
      <c r="AG4" s="57" t="s">
        <v>11</v>
      </c>
      <c r="AH4" s="59" t="s">
        <v>12</v>
      </c>
      <c r="AI4" s="57" t="s">
        <v>11</v>
      </c>
      <c r="AJ4" s="58" t="s">
        <v>12</v>
      </c>
      <c r="AK4" s="61" t="s">
        <v>13</v>
      </c>
      <c r="AL4" s="62" t="s">
        <v>12</v>
      </c>
      <c r="AM4" s="61" t="s">
        <v>13</v>
      </c>
      <c r="AN4" s="62" t="s">
        <v>12</v>
      </c>
      <c r="AO4" s="61" t="s">
        <v>13</v>
      </c>
      <c r="AP4" s="62" t="s">
        <v>12</v>
      </c>
      <c r="AQ4" s="61" t="s">
        <v>13</v>
      </c>
      <c r="AR4" s="62" t="s">
        <v>12</v>
      </c>
      <c r="AS4" s="61" t="s">
        <v>13</v>
      </c>
      <c r="AT4" s="62" t="s">
        <v>12</v>
      </c>
    </row>
    <row r="5" spans="1:46">
      <c r="A5" s="11">
        <v>1</v>
      </c>
      <c r="B5" s="184" t="s">
        <v>39</v>
      </c>
      <c r="C5" s="11">
        <v>60</v>
      </c>
      <c r="D5" s="12">
        <v>250</v>
      </c>
      <c r="E5" s="12">
        <v>0.06</v>
      </c>
      <c r="F5" s="13">
        <v>0.1</v>
      </c>
      <c r="G5" s="14">
        <v>0.24</v>
      </c>
      <c r="H5" s="15">
        <v>40</v>
      </c>
      <c r="I5" s="15">
        <v>3.7947331922020551</v>
      </c>
      <c r="J5" s="16">
        <v>15</v>
      </c>
      <c r="K5" s="17">
        <v>13.954202107820963</v>
      </c>
      <c r="L5" s="18">
        <v>2.3807018473360713</v>
      </c>
      <c r="M5" s="18">
        <v>17.962349272467623</v>
      </c>
      <c r="N5" s="19">
        <v>3.1336551996448927</v>
      </c>
      <c r="O5" s="50">
        <v>7.2248314394440882</v>
      </c>
      <c r="P5" s="50">
        <v>5.7467548552037151</v>
      </c>
      <c r="Q5" s="50">
        <v>6.5382536464128291</v>
      </c>
      <c r="R5" s="50">
        <v>0.78881810381145179</v>
      </c>
      <c r="S5" s="50">
        <v>0.39432720624735185</v>
      </c>
      <c r="T5" s="50">
        <v>0.59392015444569657</v>
      </c>
      <c r="U5" s="50">
        <v>0.76867262546917581</v>
      </c>
      <c r="V5" s="50">
        <v>0.89547023758770272</v>
      </c>
      <c r="W5" s="51">
        <v>0.26637652833858438</v>
      </c>
      <c r="X5" s="64">
        <v>0.90369999999999995</v>
      </c>
      <c r="Y5" s="64">
        <v>0.56718000000000002</v>
      </c>
      <c r="Z5" s="14">
        <v>0.77188716300000004</v>
      </c>
      <c r="AA5" s="18">
        <v>0.74132542599999995</v>
      </c>
      <c r="AB5" s="48">
        <v>0.10738474200000001</v>
      </c>
      <c r="AC5" s="15">
        <v>40.838323369999998</v>
      </c>
      <c r="AD5" s="15">
        <v>12.004946629999999</v>
      </c>
      <c r="AE5" s="15">
        <v>44.755015690908401</v>
      </c>
      <c r="AF5" s="15">
        <v>50.153011078038901</v>
      </c>
      <c r="AG5" s="21">
        <v>4.46431074866218E-2</v>
      </c>
      <c r="AH5" s="22">
        <v>2.0316249431031198E-2</v>
      </c>
      <c r="AI5" s="23">
        <v>0.97341079702515354</v>
      </c>
      <c r="AJ5" s="20">
        <v>0.16506939605282031</v>
      </c>
      <c r="AK5" s="24">
        <v>117.2342117</v>
      </c>
      <c r="AL5" s="16">
        <v>3.732314863</v>
      </c>
      <c r="AM5" s="25">
        <v>372</v>
      </c>
      <c r="AN5" s="25">
        <v>5</v>
      </c>
      <c r="AO5" s="24">
        <v>222.59552037464306</v>
      </c>
      <c r="AP5" s="26">
        <v>4.0595740014798736</v>
      </c>
      <c r="AQ5" s="27">
        <v>3.19</v>
      </c>
      <c r="AR5" s="28">
        <v>0.14000000000000012</v>
      </c>
      <c r="AS5" s="29">
        <v>71.5</v>
      </c>
      <c r="AT5" s="26">
        <v>2.5</v>
      </c>
    </row>
    <row r="6" spans="1:46">
      <c r="A6" s="30">
        <v>2</v>
      </c>
      <c r="B6" s="185"/>
      <c r="C6" s="30">
        <v>160</v>
      </c>
      <c r="D6" s="31">
        <v>250</v>
      </c>
      <c r="E6" s="31">
        <v>0.06</v>
      </c>
      <c r="F6" s="32">
        <v>0.1</v>
      </c>
      <c r="G6" s="33">
        <v>0.64</v>
      </c>
      <c r="H6" s="34">
        <v>106.66666666666667</v>
      </c>
      <c r="I6" s="34">
        <v>10.119288512538814</v>
      </c>
      <c r="J6" s="35">
        <v>40</v>
      </c>
      <c r="K6" s="36">
        <v>12.423227729171687</v>
      </c>
      <c r="L6" s="27">
        <v>2.0550978828502431</v>
      </c>
      <c r="M6" s="27">
        <v>15.711164484124913</v>
      </c>
      <c r="N6" s="37">
        <v>2.6074789795804425</v>
      </c>
      <c r="O6" s="52">
        <v>8.6727246886046725</v>
      </c>
      <c r="P6" s="52">
        <v>7.0165004666253408</v>
      </c>
      <c r="Q6" s="52">
        <v>9.8791291686244431</v>
      </c>
      <c r="R6" s="52">
        <v>0.86541460475834031</v>
      </c>
      <c r="S6" s="52">
        <v>0.28857497449126113</v>
      </c>
      <c r="T6" s="52">
        <v>0.83462367911598678</v>
      </c>
      <c r="U6" s="52">
        <v>0.78716729200437541</v>
      </c>
      <c r="V6" s="52">
        <v>0.94069798833482299</v>
      </c>
      <c r="W6" s="53">
        <v>0.27353343635999294</v>
      </c>
      <c r="X6" s="65">
        <v>1.2862</v>
      </c>
      <c r="Y6" s="65">
        <v>1.0199</v>
      </c>
      <c r="Z6" s="33">
        <v>0.88012540699999997</v>
      </c>
      <c r="AA6" s="27">
        <v>0.90161820999999998</v>
      </c>
      <c r="AB6" s="49">
        <v>7.5157571000000006E-2</v>
      </c>
      <c r="AC6" s="34">
        <v>62.504903970000001</v>
      </c>
      <c r="AD6" s="34">
        <v>22.231003040000001</v>
      </c>
      <c r="AE6" s="34">
        <v>70.188540714926702</v>
      </c>
      <c r="AF6" s="34">
        <v>74.037548791137596</v>
      </c>
      <c r="AG6" s="39">
        <v>0.27046168136267301</v>
      </c>
      <c r="AH6" s="40">
        <v>1.9377915578228901E-2</v>
      </c>
      <c r="AI6" s="3">
        <v>0.89347271134958572</v>
      </c>
      <c r="AJ6" s="38">
        <v>0.36253559752048053</v>
      </c>
      <c r="AK6" s="41">
        <v>115.3634354</v>
      </c>
      <c r="AL6" s="42">
        <v>4.6354308389999996</v>
      </c>
      <c r="AM6" s="2">
        <v>384.5</v>
      </c>
      <c r="AN6" s="2">
        <v>0.5</v>
      </c>
      <c r="AO6" s="41">
        <v>219.60846464160852</v>
      </c>
      <c r="AP6" s="42">
        <v>2.5428005986398432</v>
      </c>
      <c r="AQ6" s="27">
        <v>3.54</v>
      </c>
      <c r="AR6" s="43">
        <v>0.31999999999999984</v>
      </c>
      <c r="AS6" s="44">
        <v>67.940316209463958</v>
      </c>
      <c r="AT6" s="42">
        <v>8.0596837905359546</v>
      </c>
    </row>
    <row r="7" spans="1:46">
      <c r="A7" s="30">
        <v>3</v>
      </c>
      <c r="B7" s="185"/>
      <c r="C7" s="30">
        <v>160</v>
      </c>
      <c r="D7" s="31">
        <v>800</v>
      </c>
      <c r="E7" s="31">
        <v>0.06</v>
      </c>
      <c r="F7" s="32">
        <v>0.1</v>
      </c>
      <c r="G7" s="33">
        <v>0.2</v>
      </c>
      <c r="H7" s="34">
        <v>33.333333333333329</v>
      </c>
      <c r="I7" s="34">
        <v>5.6568542494923797</v>
      </c>
      <c r="J7" s="35">
        <v>128</v>
      </c>
      <c r="K7" s="36">
        <v>17.565656540510513</v>
      </c>
      <c r="L7" s="27">
        <v>2.6109434310276471</v>
      </c>
      <c r="M7" s="27">
        <v>21.679047664251751</v>
      </c>
      <c r="N7" s="37">
        <v>3.0549039568957586</v>
      </c>
      <c r="O7" s="52">
        <v>8.0812873565128918</v>
      </c>
      <c r="P7" s="52">
        <v>6.6064680437778982</v>
      </c>
      <c r="Q7" s="52">
        <v>8.8851069012665125</v>
      </c>
      <c r="R7" s="52">
        <v>0.80520207803437149</v>
      </c>
      <c r="S7" s="52">
        <v>0.3167367151557629</v>
      </c>
      <c r="T7" s="52">
        <v>0.64289512710320285</v>
      </c>
      <c r="U7" s="52">
        <v>0.76825625430185984</v>
      </c>
      <c r="V7" s="52">
        <v>0.9280273894555453</v>
      </c>
      <c r="W7" s="53">
        <v>0.27667935637414121</v>
      </c>
      <c r="X7" s="65">
        <v>1.0118</v>
      </c>
      <c r="Y7" s="65">
        <v>0.75061</v>
      </c>
      <c r="Z7" s="33">
        <v>0.80226114699999995</v>
      </c>
      <c r="AA7" s="27">
        <v>0.79334639100000004</v>
      </c>
      <c r="AB7" s="49">
        <v>0.1070982</v>
      </c>
      <c r="AC7" s="34">
        <v>56.265992349999998</v>
      </c>
      <c r="AD7" s="34">
        <v>23.858810609999999</v>
      </c>
      <c r="AE7" s="34">
        <v>66.281306428022802</v>
      </c>
      <c r="AF7" s="34">
        <v>77.042837525494605</v>
      </c>
      <c r="AG7" s="39">
        <v>0.26075718950626298</v>
      </c>
      <c r="AH7" s="40">
        <v>3.4028172174974697E-2</v>
      </c>
      <c r="AI7" s="3">
        <v>1.027376964026123</v>
      </c>
      <c r="AJ7" s="38">
        <v>0.38682197522830675</v>
      </c>
      <c r="AK7" s="41">
        <v>115.3993375</v>
      </c>
      <c r="AL7" s="42">
        <v>4.7083043699999996</v>
      </c>
      <c r="AM7" s="2">
        <v>361.5</v>
      </c>
      <c r="AN7" s="2">
        <v>14.5</v>
      </c>
      <c r="AO7" s="41">
        <v>191.85556545850949</v>
      </c>
      <c r="AP7" s="42">
        <v>26.27511684984264</v>
      </c>
      <c r="AQ7" s="27">
        <v>3.3499999999999996</v>
      </c>
      <c r="AR7" s="43">
        <v>7.0000000000000062E-2</v>
      </c>
      <c r="AS7" s="44">
        <v>59.5</v>
      </c>
      <c r="AT7" s="42">
        <v>3.5</v>
      </c>
    </row>
    <row r="8" spans="1:46">
      <c r="A8" s="30">
        <v>4</v>
      </c>
      <c r="B8" s="185"/>
      <c r="C8" s="30">
        <v>160</v>
      </c>
      <c r="D8" s="31">
        <v>1350</v>
      </c>
      <c r="E8" s="31">
        <v>0.06</v>
      </c>
      <c r="F8" s="32">
        <v>0.1</v>
      </c>
      <c r="G8" s="33">
        <v>0.11851851851851852</v>
      </c>
      <c r="H8" s="34">
        <v>19.753086419753089</v>
      </c>
      <c r="I8" s="34">
        <v>4.3546484316145389</v>
      </c>
      <c r="J8" s="35">
        <v>216</v>
      </c>
      <c r="K8" s="36">
        <v>17.265579110250037</v>
      </c>
      <c r="L8" s="27">
        <v>2.1188629684193758</v>
      </c>
      <c r="M8" s="27">
        <v>22.158965434268211</v>
      </c>
      <c r="N8" s="37">
        <v>2.934325178296266</v>
      </c>
      <c r="O8" s="52">
        <v>7.1641919034757509</v>
      </c>
      <c r="P8" s="52">
        <v>5.8811020970146748</v>
      </c>
      <c r="Q8" s="52">
        <v>7.1019188546649632</v>
      </c>
      <c r="R8" s="52">
        <v>0.8451248580456866</v>
      </c>
      <c r="S8" s="52">
        <v>0.36186273789982093</v>
      </c>
      <c r="T8" s="52">
        <v>0.75116014657067864</v>
      </c>
      <c r="U8" s="52">
        <v>0.7743593849235354</v>
      </c>
      <c r="V8" s="52">
        <v>0.91318034370671053</v>
      </c>
      <c r="W8" s="53">
        <v>0.2616467364984188</v>
      </c>
      <c r="X8" s="65">
        <v>0.95372999999999997</v>
      </c>
      <c r="Y8" s="65">
        <v>0.63173000000000001</v>
      </c>
      <c r="Z8" s="33">
        <v>0.81759459800000001</v>
      </c>
      <c r="AA8" s="27">
        <v>0.82264519400000002</v>
      </c>
      <c r="AB8" s="49">
        <v>7.2761975000000007E-2</v>
      </c>
      <c r="AC8" s="34">
        <v>55.231714289999999</v>
      </c>
      <c r="AD8" s="34">
        <v>18.564691880000002</v>
      </c>
      <c r="AE8" s="34">
        <v>61.4259629217445</v>
      </c>
      <c r="AF8" s="34">
        <v>64.430266120732398</v>
      </c>
      <c r="AG8" s="39">
        <v>6.9400368514541594E-2</v>
      </c>
      <c r="AH8" s="40">
        <v>5.5756611541196103E-3</v>
      </c>
      <c r="AI8" s="3">
        <v>0.60725744424329431</v>
      </c>
      <c r="AJ8" s="38">
        <v>0.34172162306159726</v>
      </c>
      <c r="AK8" s="41">
        <v>139.75806040000001</v>
      </c>
      <c r="AL8" s="42">
        <v>7.7702616769999997</v>
      </c>
      <c r="AM8" s="2">
        <v>374.5</v>
      </c>
      <c r="AN8" s="2">
        <v>2.5</v>
      </c>
      <c r="AO8" s="41">
        <v>216.06986716712191</v>
      </c>
      <c r="AP8" s="42">
        <v>2.7297859268839773</v>
      </c>
      <c r="AQ8" s="27">
        <v>3.41</v>
      </c>
      <c r="AR8" s="43">
        <v>0.15000000000000013</v>
      </c>
      <c r="AS8" s="44">
        <v>75.5</v>
      </c>
      <c r="AT8" s="42">
        <v>8.5</v>
      </c>
    </row>
    <row r="9" spans="1:46">
      <c r="A9" s="30">
        <v>5</v>
      </c>
      <c r="B9" s="185"/>
      <c r="C9" s="30">
        <v>260</v>
      </c>
      <c r="D9" s="31">
        <v>250</v>
      </c>
      <c r="E9" s="31">
        <v>0.06</v>
      </c>
      <c r="F9" s="32">
        <v>0.1</v>
      </c>
      <c r="G9" s="33">
        <v>1.04</v>
      </c>
      <c r="H9" s="34">
        <v>173.33333333333334</v>
      </c>
      <c r="I9" s="34">
        <v>16.443843832875572</v>
      </c>
      <c r="J9" s="35">
        <v>65</v>
      </c>
      <c r="K9" s="36">
        <v>17.371732590275688</v>
      </c>
      <c r="L9" s="27">
        <v>1.972928572793289</v>
      </c>
      <c r="M9" s="27">
        <v>21.497792017359586</v>
      </c>
      <c r="N9" s="37">
        <v>2.7275229398200125</v>
      </c>
      <c r="O9" s="52">
        <v>7.2495100283137655</v>
      </c>
      <c r="P9" s="52">
        <v>5.8716002653213044</v>
      </c>
      <c r="Q9" s="52">
        <v>6.9796168791236122</v>
      </c>
      <c r="R9" s="52">
        <v>0.8242065464828281</v>
      </c>
      <c r="S9" s="52">
        <v>0.36227056301841587</v>
      </c>
      <c r="T9" s="52">
        <v>0.73227923385571303</v>
      </c>
      <c r="U9" s="52">
        <v>0.7820294304545915</v>
      </c>
      <c r="V9" s="52">
        <v>0.90614727932435302</v>
      </c>
      <c r="W9" s="53">
        <v>0.25238652494040081</v>
      </c>
      <c r="X9" s="65">
        <v>1.0527</v>
      </c>
      <c r="Y9" s="65">
        <v>0.74565999999999999</v>
      </c>
      <c r="Z9" s="33">
        <v>0.82641135200000004</v>
      </c>
      <c r="AA9" s="27">
        <v>0.83351210399999998</v>
      </c>
      <c r="AB9" s="49">
        <v>6.6075310999999998E-2</v>
      </c>
      <c r="AC9" s="34">
        <v>54.025777910000002</v>
      </c>
      <c r="AD9" s="34">
        <v>18.701006</v>
      </c>
      <c r="AE9" s="34">
        <v>60.479800039845401</v>
      </c>
      <c r="AF9" s="34">
        <v>64.398468286608903</v>
      </c>
      <c r="AG9" s="39">
        <v>9.1497844455940294E-2</v>
      </c>
      <c r="AH9" s="40">
        <v>6.1840023933855499E-3</v>
      </c>
      <c r="AI9" s="3">
        <v>1.0961964005006544</v>
      </c>
      <c r="AJ9" s="38">
        <v>0.25076053209672172</v>
      </c>
      <c r="AK9" s="41">
        <v>117.55896130000001</v>
      </c>
      <c r="AL9" s="42">
        <v>1.1346307659999999</v>
      </c>
      <c r="AM9" s="2">
        <v>374.5</v>
      </c>
      <c r="AN9" s="2">
        <v>4.5</v>
      </c>
      <c r="AO9" s="41">
        <v>222.51651929965504</v>
      </c>
      <c r="AP9" s="42">
        <v>4.6234224027010384</v>
      </c>
      <c r="AQ9" s="27">
        <v>3.19</v>
      </c>
      <c r="AR9" s="43">
        <v>0.18999999999999995</v>
      </c>
      <c r="AS9" s="44">
        <v>74.5</v>
      </c>
      <c r="AT9" s="42">
        <v>2.5</v>
      </c>
    </row>
    <row r="10" spans="1:46">
      <c r="A10" s="30">
        <v>6</v>
      </c>
      <c r="B10" s="185"/>
      <c r="C10" s="30">
        <v>260</v>
      </c>
      <c r="D10" s="31">
        <v>800</v>
      </c>
      <c r="E10" s="31">
        <v>0.06</v>
      </c>
      <c r="F10" s="32">
        <v>0.1</v>
      </c>
      <c r="G10" s="33">
        <v>0.32500000000000001</v>
      </c>
      <c r="H10" s="34">
        <v>54.166666666666657</v>
      </c>
      <c r="I10" s="34">
        <v>9.1923881554251174</v>
      </c>
      <c r="J10" s="35">
        <v>208</v>
      </c>
      <c r="K10" s="36">
        <v>15.603633423533763</v>
      </c>
      <c r="L10" s="27">
        <v>3.3512218628760602</v>
      </c>
      <c r="M10" s="27">
        <v>20.088143440420236</v>
      </c>
      <c r="N10" s="37">
        <v>5.8590451144146547</v>
      </c>
      <c r="O10" s="52">
        <v>7.1797872747213169</v>
      </c>
      <c r="P10" s="52">
        <v>5.8128568616143834</v>
      </c>
      <c r="Q10" s="52">
        <v>6.8346067437045441</v>
      </c>
      <c r="R10" s="52">
        <v>0.90240225775809046</v>
      </c>
      <c r="S10" s="52">
        <v>0.3897598101170674</v>
      </c>
      <c r="T10" s="52">
        <v>0.82662365665738646</v>
      </c>
      <c r="U10" s="52">
        <v>0.75489082891198445</v>
      </c>
      <c r="V10" s="52">
        <v>0.89486258046647571</v>
      </c>
      <c r="W10" s="53">
        <v>0.27794523808596339</v>
      </c>
      <c r="X10" s="65">
        <v>0.97833000000000003</v>
      </c>
      <c r="Y10" s="65">
        <v>0.66705000000000003</v>
      </c>
      <c r="Z10" s="33">
        <v>0.83775202400000004</v>
      </c>
      <c r="AA10" s="27">
        <v>0.85459277499999997</v>
      </c>
      <c r="AB10" s="49">
        <v>7.6301892999999996E-2</v>
      </c>
      <c r="AC10" s="34">
        <v>60.928866280000001</v>
      </c>
      <c r="AD10" s="34">
        <v>22.52273374</v>
      </c>
      <c r="AE10" s="34">
        <v>68.9731660996014</v>
      </c>
      <c r="AF10" s="34">
        <v>73.066485920061297</v>
      </c>
      <c r="AG10" s="39">
        <v>0.11333163399447101</v>
      </c>
      <c r="AH10" s="40">
        <v>8.9733906116573198E-3</v>
      </c>
      <c r="AI10" s="3">
        <v>1.2439475469558652</v>
      </c>
      <c r="AJ10" s="38">
        <v>0.30031420970857198</v>
      </c>
      <c r="AK10" s="41">
        <v>110.47467330000001</v>
      </c>
      <c r="AL10" s="42">
        <v>5.3415947700000004</v>
      </c>
      <c r="AM10" s="2">
        <v>374</v>
      </c>
      <c r="AN10" s="2">
        <v>5</v>
      </c>
      <c r="AO10" s="41">
        <v>213.64839611071505</v>
      </c>
      <c r="AP10" s="42">
        <v>0.67179273356869373</v>
      </c>
      <c r="AQ10" s="27">
        <v>3.45</v>
      </c>
      <c r="AR10" s="43">
        <v>0</v>
      </c>
      <c r="AS10" s="44">
        <v>78.5</v>
      </c>
      <c r="AT10" s="42">
        <v>6.5</v>
      </c>
    </row>
    <row r="11" spans="1:46">
      <c r="A11" s="30">
        <v>7</v>
      </c>
      <c r="B11" s="185"/>
      <c r="C11" s="30">
        <v>260</v>
      </c>
      <c r="D11" s="31">
        <v>1350</v>
      </c>
      <c r="E11" s="31">
        <v>0.06</v>
      </c>
      <c r="F11" s="32">
        <v>0.1</v>
      </c>
      <c r="G11" s="33">
        <v>0.19259259259259259</v>
      </c>
      <c r="H11" s="34">
        <v>32.098765432098766</v>
      </c>
      <c r="I11" s="34">
        <v>7.0763037013736252</v>
      </c>
      <c r="J11" s="35">
        <v>351</v>
      </c>
      <c r="K11" s="36">
        <v>16.248075516248523</v>
      </c>
      <c r="L11" s="27">
        <v>4.1181426338665501</v>
      </c>
      <c r="M11" s="27">
        <v>20.72215002413774</v>
      </c>
      <c r="N11" s="37">
        <v>5.3408497794809486</v>
      </c>
      <c r="O11" s="52">
        <v>8.9679707255644683</v>
      </c>
      <c r="P11" s="52">
        <v>7.0561080474670259</v>
      </c>
      <c r="Q11" s="52">
        <v>9.7638097569001943</v>
      </c>
      <c r="R11" s="52">
        <v>0.83816287504094056</v>
      </c>
      <c r="S11" s="52">
        <v>0.3008636162160479</v>
      </c>
      <c r="T11" s="52">
        <v>0.81831819051692201</v>
      </c>
      <c r="U11" s="52">
        <v>0.78890086984389085</v>
      </c>
      <c r="V11" s="52">
        <v>0.93854056650062212</v>
      </c>
      <c r="W11" s="53">
        <v>0.26994169781688371</v>
      </c>
      <c r="X11" s="65">
        <v>1.0899000000000001</v>
      </c>
      <c r="Y11" s="65">
        <v>0.85580999999999996</v>
      </c>
      <c r="Z11" s="33">
        <v>0.84343980200000002</v>
      </c>
      <c r="AA11" s="27">
        <v>0.82785699300000004</v>
      </c>
      <c r="AB11" s="49">
        <v>0.110547247</v>
      </c>
      <c r="AC11" s="34">
        <v>61.263190489999999</v>
      </c>
      <c r="AD11" s="34">
        <v>24.35748212</v>
      </c>
      <c r="AE11" s="34">
        <v>71.005340531021005</v>
      </c>
      <c r="AF11" s="34">
        <v>92.777344080392098</v>
      </c>
      <c r="AG11" s="39">
        <v>0.246629046667389</v>
      </c>
      <c r="AH11" s="40">
        <v>3.6465677605670599E-2</v>
      </c>
      <c r="AI11" s="3">
        <v>0.5569511450256911</v>
      </c>
      <c r="AJ11" s="38">
        <v>0.2661862237107161</v>
      </c>
      <c r="AK11" s="41">
        <v>112.5465703</v>
      </c>
      <c r="AL11" s="45">
        <v>7.7744185110000004</v>
      </c>
      <c r="AM11" s="2">
        <v>360</v>
      </c>
      <c r="AN11" s="2">
        <v>0</v>
      </c>
      <c r="AO11" s="41">
        <v>212.10907203795793</v>
      </c>
      <c r="AP11" s="42">
        <v>0</v>
      </c>
      <c r="AQ11" s="27">
        <v>3.25</v>
      </c>
      <c r="AR11" s="43">
        <v>0</v>
      </c>
      <c r="AS11" s="44">
        <v>72</v>
      </c>
      <c r="AT11" s="42">
        <v>0</v>
      </c>
    </row>
    <row r="12" spans="1:46">
      <c r="A12" s="30">
        <v>8</v>
      </c>
      <c r="B12" s="185"/>
      <c r="C12" s="30">
        <v>260</v>
      </c>
      <c r="D12" s="31">
        <v>1900</v>
      </c>
      <c r="E12" s="31">
        <v>0.06</v>
      </c>
      <c r="F12" s="32">
        <v>0.1</v>
      </c>
      <c r="G12" s="33">
        <v>0.1368421052631579</v>
      </c>
      <c r="H12" s="34">
        <v>22.807017543859647</v>
      </c>
      <c r="I12" s="34">
        <v>5.9648090806346055</v>
      </c>
      <c r="J12" s="35">
        <v>494</v>
      </c>
      <c r="K12" s="36">
        <v>14.754669067422913</v>
      </c>
      <c r="L12" s="27">
        <v>1.9759428417916827</v>
      </c>
      <c r="M12" s="27">
        <v>18.758663468985485</v>
      </c>
      <c r="N12" s="37">
        <v>2.4938302625908966</v>
      </c>
      <c r="O12" s="52">
        <v>6.7076974507760605</v>
      </c>
      <c r="P12" s="52">
        <v>5.558437801706142</v>
      </c>
      <c r="Q12" s="52">
        <v>6.3970427788530717</v>
      </c>
      <c r="R12" s="52">
        <v>0.86477669740809837</v>
      </c>
      <c r="S12" s="52">
        <v>0.38573039669319414</v>
      </c>
      <c r="T12" s="52">
        <v>0.75781101230325476</v>
      </c>
      <c r="U12" s="52">
        <v>0.7626219088879812</v>
      </c>
      <c r="V12" s="52">
        <v>0.89746899615223508</v>
      </c>
      <c r="W12" s="53">
        <v>0.26401513844572361</v>
      </c>
      <c r="X12" s="65">
        <v>0.77248000000000006</v>
      </c>
      <c r="Y12" s="65">
        <v>0.39049</v>
      </c>
      <c r="Z12" s="33">
        <v>0.83097322500000004</v>
      </c>
      <c r="AA12" s="27">
        <v>0.84636287399999999</v>
      </c>
      <c r="AB12" s="49">
        <v>7.5095031000000007E-2</v>
      </c>
      <c r="AC12" s="34">
        <v>55.366490429999999</v>
      </c>
      <c r="AD12" s="34">
        <v>19.388673130000001</v>
      </c>
      <c r="AE12" s="34">
        <v>62.142209703416697</v>
      </c>
      <c r="AF12" s="34">
        <v>67.342447367048194</v>
      </c>
      <c r="AG12" s="39">
        <v>9.8483127596616094E-2</v>
      </c>
      <c r="AH12" s="40">
        <v>7.6390419000945996E-3</v>
      </c>
      <c r="AI12" s="3">
        <v>0.83590656404053687</v>
      </c>
      <c r="AJ12" s="38">
        <v>0.37759684411633831</v>
      </c>
      <c r="AK12" s="41">
        <v>114.3552698</v>
      </c>
      <c r="AL12" s="42">
        <v>7.0387760669999997</v>
      </c>
      <c r="AM12" s="2">
        <v>369.5</v>
      </c>
      <c r="AN12" s="2">
        <v>3.5</v>
      </c>
      <c r="AO12" s="41">
        <v>219.62168102739153</v>
      </c>
      <c r="AP12" s="42">
        <v>0.81265916998148668</v>
      </c>
      <c r="AQ12" s="27">
        <v>3.41</v>
      </c>
      <c r="AR12" s="43">
        <v>0.16999999999999993</v>
      </c>
      <c r="AS12" s="44">
        <v>70</v>
      </c>
      <c r="AT12" s="42">
        <v>5</v>
      </c>
    </row>
    <row r="13" spans="1:46">
      <c r="A13" s="30">
        <v>9</v>
      </c>
      <c r="B13" s="185"/>
      <c r="C13" s="30">
        <v>360</v>
      </c>
      <c r="D13" s="31">
        <v>250</v>
      </c>
      <c r="E13" s="31">
        <v>0.06</v>
      </c>
      <c r="F13" s="32">
        <v>0.1</v>
      </c>
      <c r="G13" s="33">
        <v>1.44</v>
      </c>
      <c r="H13" s="34">
        <v>240</v>
      </c>
      <c r="I13" s="34">
        <v>22.768399153212332</v>
      </c>
      <c r="J13" s="35">
        <v>90</v>
      </c>
      <c r="K13" s="36">
        <v>14.122985790381737</v>
      </c>
      <c r="L13" s="27">
        <v>3.3551346514472913</v>
      </c>
      <c r="M13" s="27">
        <v>18.476489228542363</v>
      </c>
      <c r="N13" s="37">
        <v>4.1660856013098835</v>
      </c>
      <c r="O13" s="52">
        <v>9.3722926076086122</v>
      </c>
      <c r="P13" s="52">
        <v>7.1884746207998154</v>
      </c>
      <c r="Q13" s="52">
        <v>9.8992196380825881</v>
      </c>
      <c r="R13" s="52">
        <v>0.69550154179734913</v>
      </c>
      <c r="S13" s="52">
        <v>0.31107987233134032</v>
      </c>
      <c r="T13" s="52">
        <v>0.43686261916605251</v>
      </c>
      <c r="U13" s="52">
        <v>0.75757785687222767</v>
      </c>
      <c r="V13" s="52">
        <v>0.93605568542706263</v>
      </c>
      <c r="W13" s="53">
        <v>0.29840673069015078</v>
      </c>
      <c r="X13" s="65">
        <v>1.0464</v>
      </c>
      <c r="Y13" s="65">
        <v>0.73421000000000003</v>
      </c>
      <c r="Z13" s="33">
        <v>0.82997034700000005</v>
      </c>
      <c r="AA13" s="27">
        <v>0.83285791300000001</v>
      </c>
      <c r="AB13" s="49">
        <v>7.7473541000000007E-2</v>
      </c>
      <c r="AC13" s="34">
        <v>59.123607030000002</v>
      </c>
      <c r="AD13" s="34">
        <v>22.25162898</v>
      </c>
      <c r="AE13" s="34">
        <v>67.338650275617496</v>
      </c>
      <c r="AF13" s="34">
        <v>73.377631774836104</v>
      </c>
      <c r="AG13" s="39">
        <v>0.27167796253300602</v>
      </c>
      <c r="AH13" s="40">
        <v>3.2320618564528197E-2</v>
      </c>
      <c r="AI13" s="3">
        <v>1.3682633794054946</v>
      </c>
      <c r="AJ13" s="38">
        <v>0.42644268430075699</v>
      </c>
      <c r="AK13" s="41">
        <v>119.10022240000001</v>
      </c>
      <c r="AL13" s="42">
        <v>6.1115566499999998</v>
      </c>
      <c r="AM13" s="2">
        <v>376</v>
      </c>
      <c r="AN13" s="2">
        <v>5</v>
      </c>
      <c r="AO13" s="41">
        <v>219.99336238649408</v>
      </c>
      <c r="AP13" s="42">
        <v>0</v>
      </c>
      <c r="AQ13" s="27">
        <v>3.2199999999999998</v>
      </c>
      <c r="AR13" s="43">
        <v>7.9999999999999849E-2</v>
      </c>
      <c r="AS13" s="44">
        <v>66</v>
      </c>
      <c r="AT13" s="42">
        <v>0</v>
      </c>
    </row>
    <row r="14" spans="1:46">
      <c r="A14" s="30">
        <v>10</v>
      </c>
      <c r="B14" s="185"/>
      <c r="C14" s="30">
        <v>360</v>
      </c>
      <c r="D14" s="31">
        <v>800</v>
      </c>
      <c r="E14" s="31">
        <v>0.06</v>
      </c>
      <c r="F14" s="32">
        <v>0.1</v>
      </c>
      <c r="G14" s="33">
        <v>0.45</v>
      </c>
      <c r="H14" s="34">
        <v>74.999999999999986</v>
      </c>
      <c r="I14" s="34">
        <v>12.727922061357855</v>
      </c>
      <c r="J14" s="35">
        <v>288</v>
      </c>
      <c r="K14" s="36">
        <v>17.016500693383861</v>
      </c>
      <c r="L14" s="27">
        <v>4.4667216233352542</v>
      </c>
      <c r="M14" s="27">
        <v>23.150641000576542</v>
      </c>
      <c r="N14" s="37">
        <v>10.230940375460966</v>
      </c>
      <c r="O14" s="52">
        <v>8.2866141660037496</v>
      </c>
      <c r="P14" s="52">
        <v>6.8926485449768373</v>
      </c>
      <c r="Q14" s="52">
        <v>9.7547225235657908</v>
      </c>
      <c r="R14" s="52">
        <v>0.89212157758222299</v>
      </c>
      <c r="S14" s="52">
        <v>0.28399168236319883</v>
      </c>
      <c r="T14" s="52">
        <v>0.85334907437662766</v>
      </c>
      <c r="U14" s="52">
        <v>0.77562046915270966</v>
      </c>
      <c r="V14" s="52">
        <v>0.93808622470117642</v>
      </c>
      <c r="W14" s="53">
        <v>0.28498774077835531</v>
      </c>
      <c r="X14" s="65">
        <v>0.95296999999999998</v>
      </c>
      <c r="Y14" s="65">
        <v>0.62707999999999997</v>
      </c>
      <c r="Z14" s="33">
        <v>0.86966214399999997</v>
      </c>
      <c r="AA14" s="27">
        <v>0.88429344300000001</v>
      </c>
      <c r="AB14" s="49">
        <v>8.6447909000000003E-2</v>
      </c>
      <c r="AC14" s="34">
        <v>62.498549349999998</v>
      </c>
      <c r="AD14" s="34">
        <v>22.61563056</v>
      </c>
      <c r="AE14" s="34">
        <v>70.394269331545303</v>
      </c>
      <c r="AF14" s="34">
        <v>74.182404648966099</v>
      </c>
      <c r="AG14" s="39">
        <v>0.21650783476333499</v>
      </c>
      <c r="AH14" s="40">
        <v>1.7810048274462201E-2</v>
      </c>
      <c r="AI14" s="3">
        <v>0.61985427987107622</v>
      </c>
      <c r="AJ14" s="38">
        <v>0.22523701366454479</v>
      </c>
      <c r="AK14" s="41">
        <v>113.6261318</v>
      </c>
      <c r="AL14" s="46">
        <v>6.3054527220000001</v>
      </c>
      <c r="AM14" s="2">
        <v>374.5</v>
      </c>
      <c r="AN14" s="2">
        <v>2.5</v>
      </c>
      <c r="AO14" s="41">
        <v>225.97586555165586</v>
      </c>
      <c r="AP14" s="42">
        <v>8.7639046530825624</v>
      </c>
      <c r="AQ14" s="27">
        <v>3.5750000000000002</v>
      </c>
      <c r="AR14" s="43">
        <v>0.14500000000000002</v>
      </c>
      <c r="AS14" s="44">
        <v>67.5</v>
      </c>
      <c r="AT14" s="42">
        <v>0.5</v>
      </c>
    </row>
    <row r="15" spans="1:46">
      <c r="A15" s="30">
        <v>11</v>
      </c>
      <c r="B15" s="185"/>
      <c r="C15" s="30">
        <v>360</v>
      </c>
      <c r="D15" s="31">
        <v>1350</v>
      </c>
      <c r="E15" s="31">
        <v>0.06</v>
      </c>
      <c r="F15" s="32">
        <v>0.1</v>
      </c>
      <c r="G15" s="33">
        <v>0.26666666666666666</v>
      </c>
      <c r="H15" s="34">
        <v>44.444444444444443</v>
      </c>
      <c r="I15" s="34">
        <v>9.7979589711327115</v>
      </c>
      <c r="J15" s="35">
        <v>486</v>
      </c>
      <c r="K15" s="36">
        <v>15.686383112427462</v>
      </c>
      <c r="L15" s="27">
        <v>1.4446273194716548</v>
      </c>
      <c r="M15" s="27">
        <v>19.962244216258362</v>
      </c>
      <c r="N15" s="37">
        <v>1.5192218147500709</v>
      </c>
      <c r="O15" s="52">
        <v>8.3688328258323033</v>
      </c>
      <c r="P15" s="52">
        <v>6.8094096323297446</v>
      </c>
      <c r="Q15" s="52">
        <v>9.3766387381573431</v>
      </c>
      <c r="R15" s="52">
        <v>0.88941586117271043</v>
      </c>
      <c r="S15" s="52">
        <v>0.30051447761384836</v>
      </c>
      <c r="T15" s="52">
        <v>0.85523304416861601</v>
      </c>
      <c r="U15" s="52">
        <v>0.77572378279212273</v>
      </c>
      <c r="V15" s="52">
        <v>0.939157110207823</v>
      </c>
      <c r="W15" s="53">
        <v>0.28481915006238667</v>
      </c>
      <c r="X15" s="65">
        <v>0.99402999999999997</v>
      </c>
      <c r="Y15" s="65">
        <v>0.68033999999999994</v>
      </c>
      <c r="Z15" s="33">
        <v>0.866613733</v>
      </c>
      <c r="AA15" s="27">
        <v>0.88347443999999997</v>
      </c>
      <c r="AB15" s="49">
        <v>9.3182922000000001E-2</v>
      </c>
      <c r="AC15" s="34">
        <v>62.962301279999998</v>
      </c>
      <c r="AD15" s="34">
        <v>22.135658419999999</v>
      </c>
      <c r="AE15" s="34">
        <v>70.515954908877802</v>
      </c>
      <c r="AF15" s="34">
        <v>74.177003433905298</v>
      </c>
      <c r="AG15" s="39">
        <v>0.24807969039786401</v>
      </c>
      <c r="AH15" s="40">
        <v>2.1447417216148301E-2</v>
      </c>
      <c r="AI15" s="3">
        <v>0.70469892684025093</v>
      </c>
      <c r="AJ15" s="38">
        <v>0.29855647848690081</v>
      </c>
      <c r="AK15" s="41">
        <v>115.0394336</v>
      </c>
      <c r="AL15" s="42">
        <v>3.5433728420000001</v>
      </c>
      <c r="AM15" s="2">
        <v>376</v>
      </c>
      <c r="AN15" s="2">
        <v>2</v>
      </c>
      <c r="AO15" s="41">
        <v>219.85140780878015</v>
      </c>
      <c r="AP15" s="42">
        <v>3.3331271922676819E-2</v>
      </c>
      <c r="AQ15" s="27">
        <v>3.58</v>
      </c>
      <c r="AR15" s="43">
        <v>1.0000000000000009E-2</v>
      </c>
      <c r="AS15" s="44">
        <v>69.5</v>
      </c>
      <c r="AT15" s="42">
        <v>0.5</v>
      </c>
    </row>
    <row r="16" spans="1:46">
      <c r="A16" s="30">
        <v>12</v>
      </c>
      <c r="B16" s="185"/>
      <c r="C16" s="30">
        <v>360</v>
      </c>
      <c r="D16" s="31">
        <v>1900</v>
      </c>
      <c r="E16" s="31">
        <v>0.06</v>
      </c>
      <c r="F16" s="32">
        <v>0.1</v>
      </c>
      <c r="G16" s="33">
        <v>0.18947368421052632</v>
      </c>
      <c r="H16" s="34">
        <v>31.578947368421051</v>
      </c>
      <c r="I16" s="34">
        <v>8.2589664193402239</v>
      </c>
      <c r="J16" s="35">
        <v>684</v>
      </c>
      <c r="K16" s="36">
        <v>15.3855486056496</v>
      </c>
      <c r="L16" s="27">
        <v>1.5468804014910604</v>
      </c>
      <c r="M16" s="27">
        <v>19.714120014171698</v>
      </c>
      <c r="N16" s="37">
        <v>2.3240008267502228</v>
      </c>
      <c r="O16" s="52">
        <v>7.2503231964986554</v>
      </c>
      <c r="P16" s="52">
        <v>5.959236024314742</v>
      </c>
      <c r="Q16" s="52">
        <v>7.3010833407876907</v>
      </c>
      <c r="R16" s="52">
        <v>0.83792178667519679</v>
      </c>
      <c r="S16" s="52">
        <v>0.3536430776109924</v>
      </c>
      <c r="T16" s="52">
        <v>0.75210423403361759</v>
      </c>
      <c r="U16" s="52">
        <v>0.7734718327310478</v>
      </c>
      <c r="V16" s="52">
        <v>0.91387861621563282</v>
      </c>
      <c r="W16" s="53">
        <v>0.2631737913711909</v>
      </c>
      <c r="X16" s="65">
        <v>0.97738000000000003</v>
      </c>
      <c r="Y16" s="65">
        <v>0.65178000000000003</v>
      </c>
      <c r="Z16" s="33">
        <v>0.867748399</v>
      </c>
      <c r="AA16" s="27">
        <v>0.88767504399999997</v>
      </c>
      <c r="AB16" s="49">
        <v>9.1588298999999998E-2</v>
      </c>
      <c r="AC16" s="34">
        <v>63.619281450000003</v>
      </c>
      <c r="AD16" s="34">
        <v>22.74409442</v>
      </c>
      <c r="AE16" s="34">
        <v>71.406613385684295</v>
      </c>
      <c r="AF16" s="34">
        <v>74.277719892764594</v>
      </c>
      <c r="AG16" s="39">
        <v>0.28203007901842297</v>
      </c>
      <c r="AH16" s="40">
        <v>2.5153219924485701E-2</v>
      </c>
      <c r="AI16" s="3">
        <v>1.1584356763347976</v>
      </c>
      <c r="AJ16" s="38">
        <v>0.20274218403626745</v>
      </c>
      <c r="AK16" s="41">
        <v>116.862016</v>
      </c>
      <c r="AL16" s="42">
        <v>4.3653914289999998</v>
      </c>
      <c r="AM16" s="2">
        <v>382</v>
      </c>
      <c r="AN16" s="2">
        <v>1</v>
      </c>
      <c r="AO16" s="41">
        <v>223.08801906244622</v>
      </c>
      <c r="AP16" s="42">
        <v>1.9306219943280922</v>
      </c>
      <c r="AQ16" s="27">
        <v>3.8899999999999997</v>
      </c>
      <c r="AR16" s="43">
        <v>0.11999999999999988</v>
      </c>
      <c r="AS16" s="44">
        <v>69.5</v>
      </c>
      <c r="AT16" s="42">
        <v>1.5</v>
      </c>
    </row>
    <row r="17" spans="1:46">
      <c r="A17" s="30">
        <v>13</v>
      </c>
      <c r="B17" s="185"/>
      <c r="C17" s="30">
        <v>360</v>
      </c>
      <c r="D17" s="31">
        <v>2450</v>
      </c>
      <c r="E17" s="31">
        <v>0.06</v>
      </c>
      <c r="F17" s="32">
        <v>0.1</v>
      </c>
      <c r="G17" s="33">
        <v>0.14693877551020409</v>
      </c>
      <c r="H17" s="34">
        <v>24.489795918367346</v>
      </c>
      <c r="I17" s="34">
        <v>7.273098320775917</v>
      </c>
      <c r="J17" s="35">
        <v>882</v>
      </c>
      <c r="K17" s="36">
        <v>14.417921045811813</v>
      </c>
      <c r="L17" s="27">
        <v>1.6319866459341479</v>
      </c>
      <c r="M17" s="27">
        <v>18.615673339175761</v>
      </c>
      <c r="N17" s="37">
        <v>2.2409789263934443</v>
      </c>
      <c r="O17" s="52">
        <v>7.8344159249782379</v>
      </c>
      <c r="P17" s="52">
        <v>6.1132816302352566</v>
      </c>
      <c r="Q17" s="52">
        <v>7.2745792523941333</v>
      </c>
      <c r="R17" s="52">
        <v>0.80095380274467376</v>
      </c>
      <c r="S17" s="52">
        <v>0.37960463520535992</v>
      </c>
      <c r="T17" s="52">
        <v>0.72776420976672618</v>
      </c>
      <c r="U17" s="52">
        <v>0.78362731813168873</v>
      </c>
      <c r="V17" s="52">
        <v>0.89621210317359234</v>
      </c>
      <c r="W17" s="53">
        <v>0.24744303481047536</v>
      </c>
      <c r="X17" s="65">
        <v>0.97631999999999997</v>
      </c>
      <c r="Y17" s="65">
        <v>0.6542</v>
      </c>
      <c r="Z17" s="33">
        <v>0.81971201100000002</v>
      </c>
      <c r="AA17" s="27">
        <v>0.51829054900000004</v>
      </c>
      <c r="AB17" s="49">
        <v>0.12859192799999999</v>
      </c>
      <c r="AC17" s="34">
        <v>89.146965140000006</v>
      </c>
      <c r="AD17" s="34">
        <v>72.704491619999999</v>
      </c>
      <c r="AE17" s="34">
        <v>146.14404085569501</v>
      </c>
      <c r="AF17" s="34">
        <v>226.05868715360299</v>
      </c>
      <c r="AG17" s="39">
        <v>2.5762460165438701</v>
      </c>
      <c r="AH17" s="40">
        <v>8.9055025119133699E-2</v>
      </c>
      <c r="AI17" s="3">
        <v>4.8517950461860639</v>
      </c>
      <c r="AJ17" s="38">
        <v>0.3163337857317024</v>
      </c>
      <c r="AK17" s="41">
        <v>118.32690270000001</v>
      </c>
      <c r="AL17" s="42">
        <v>2.9353875340000002</v>
      </c>
      <c r="AM17" s="2">
        <v>379</v>
      </c>
      <c r="AN17" s="2">
        <v>4</v>
      </c>
      <c r="AO17" s="41">
        <v>224.11629041799091</v>
      </c>
      <c r="AP17" s="42">
        <v>4.4571799378886681</v>
      </c>
      <c r="AQ17" s="27">
        <v>3.5350000000000001</v>
      </c>
      <c r="AR17" s="43">
        <v>0.125</v>
      </c>
      <c r="AS17" s="44">
        <v>70.5</v>
      </c>
      <c r="AT17" s="42">
        <v>0.5</v>
      </c>
    </row>
    <row r="18" spans="1:46">
      <c r="A18" s="30">
        <v>14</v>
      </c>
      <c r="B18" s="185"/>
      <c r="C18" s="30">
        <v>360</v>
      </c>
      <c r="D18" s="31">
        <v>3000</v>
      </c>
      <c r="E18" s="31">
        <v>0.06</v>
      </c>
      <c r="F18" s="32">
        <v>0.1</v>
      </c>
      <c r="G18" s="33">
        <v>0.12</v>
      </c>
      <c r="H18" s="34">
        <v>20</v>
      </c>
      <c r="I18" s="34">
        <v>6.5726706900619929</v>
      </c>
      <c r="J18" s="35">
        <v>1080</v>
      </c>
      <c r="K18" s="36">
        <v>14.976367458667449</v>
      </c>
      <c r="L18" s="27">
        <v>1.5133361716814682</v>
      </c>
      <c r="M18" s="27">
        <v>18.9570270243007</v>
      </c>
      <c r="N18" s="37">
        <v>1.7564418725227144</v>
      </c>
      <c r="O18" s="52">
        <v>6.9946634518590471</v>
      </c>
      <c r="P18" s="52">
        <v>5.6853960919115556</v>
      </c>
      <c r="Q18" s="52">
        <v>6.5584054172716071</v>
      </c>
      <c r="R18" s="52">
        <v>0.86090917621357865</v>
      </c>
      <c r="S18" s="52">
        <v>0.38893383210513915</v>
      </c>
      <c r="T18" s="52">
        <v>0.76016155909607463</v>
      </c>
      <c r="U18" s="52">
        <v>0.76347741033755967</v>
      </c>
      <c r="V18" s="52">
        <v>0.89491822485911754</v>
      </c>
      <c r="W18" s="53">
        <v>0.26545699585241533</v>
      </c>
      <c r="X18" s="65">
        <v>0.93803000000000003</v>
      </c>
      <c r="Y18" s="65">
        <v>0.61560000000000004</v>
      </c>
      <c r="Z18" s="33">
        <v>0.84947343900000005</v>
      </c>
      <c r="AA18" s="27">
        <v>0.82882787499999999</v>
      </c>
      <c r="AB18" s="49">
        <v>8.6493502E-2</v>
      </c>
      <c r="AC18" s="34">
        <v>63.421128060000001</v>
      </c>
      <c r="AD18" s="34">
        <v>26.608640869999999</v>
      </c>
      <c r="AE18" s="34">
        <v>75.0918883348196</v>
      </c>
      <c r="AF18" s="34">
        <v>97.722670937356696</v>
      </c>
      <c r="AG18" s="39">
        <v>0.29348702271667898</v>
      </c>
      <c r="AH18" s="40">
        <v>2.1167880656299199E-2</v>
      </c>
      <c r="AI18" s="3">
        <v>0.75780080498131375</v>
      </c>
      <c r="AJ18" s="38">
        <v>0.22162014249695466</v>
      </c>
      <c r="AK18" s="41">
        <v>107.88278010000001</v>
      </c>
      <c r="AL18" s="42">
        <v>4.3229429929999998</v>
      </c>
      <c r="AM18" s="2">
        <v>380.5</v>
      </c>
      <c r="AN18" s="2">
        <v>3.5</v>
      </c>
      <c r="AO18" s="41">
        <v>224.25994856676701</v>
      </c>
      <c r="AP18" s="42">
        <v>3.8070760411000322</v>
      </c>
      <c r="AQ18" s="27">
        <v>3.8200000000000003</v>
      </c>
      <c r="AR18" s="43">
        <v>7.9999999999999849E-2</v>
      </c>
      <c r="AS18" s="44">
        <v>69.5</v>
      </c>
      <c r="AT18" s="42">
        <v>0.5</v>
      </c>
    </row>
    <row r="19" spans="1:46">
      <c r="A19" s="30">
        <v>15</v>
      </c>
      <c r="B19" s="185"/>
      <c r="C19" s="30">
        <v>460</v>
      </c>
      <c r="D19" s="31">
        <v>250</v>
      </c>
      <c r="E19" s="31">
        <v>0.06</v>
      </c>
      <c r="F19" s="32">
        <v>0.1</v>
      </c>
      <c r="G19" s="33">
        <v>1.84</v>
      </c>
      <c r="H19" s="34">
        <v>306.66666666666669</v>
      </c>
      <c r="I19" s="34">
        <v>29.092954473549092</v>
      </c>
      <c r="J19" s="35">
        <v>115</v>
      </c>
      <c r="K19" s="36">
        <v>14.153508386336075</v>
      </c>
      <c r="L19" s="27">
        <v>1.4540979273403514</v>
      </c>
      <c r="M19" s="27">
        <v>17.829756285456586</v>
      </c>
      <c r="N19" s="37">
        <v>1.7446660550177426</v>
      </c>
      <c r="O19" s="52">
        <v>8.5841452671865603</v>
      </c>
      <c r="P19" s="52">
        <v>7.0188764866444737</v>
      </c>
      <c r="Q19" s="52">
        <v>9.9650097296427731</v>
      </c>
      <c r="R19" s="52">
        <v>0.8519803664344493</v>
      </c>
      <c r="S19" s="52">
        <v>0.28526365283111532</v>
      </c>
      <c r="T19" s="52">
        <v>0.81857367087286559</v>
      </c>
      <c r="U19" s="52">
        <v>0.77838377007013504</v>
      </c>
      <c r="V19" s="52">
        <v>0.94444885223912156</v>
      </c>
      <c r="W19" s="53">
        <v>0.27962192478566378</v>
      </c>
      <c r="X19" s="65">
        <v>1.1202000000000001</v>
      </c>
      <c r="Y19" s="65">
        <v>0.76780999999999999</v>
      </c>
      <c r="Z19" s="33">
        <v>0.91196264100000002</v>
      </c>
      <c r="AA19" s="27">
        <v>0.92593681699999997</v>
      </c>
      <c r="AB19" s="49">
        <v>9.3840296000000004E-2</v>
      </c>
      <c r="AC19" s="34">
        <v>73.096655929999997</v>
      </c>
      <c r="AD19" s="34">
        <v>25.87778248</v>
      </c>
      <c r="AE19" s="34">
        <v>81.976075448722995</v>
      </c>
      <c r="AF19" s="34">
        <v>87.470242370405103</v>
      </c>
      <c r="AG19" s="39">
        <v>1.1471537249606101</v>
      </c>
      <c r="AH19" s="40">
        <v>7.8258892203990807E-2</v>
      </c>
      <c r="AI19" s="3">
        <v>0.77005237848704888</v>
      </c>
      <c r="AJ19" s="38">
        <v>0.17406051350989463</v>
      </c>
      <c r="AK19" s="41">
        <v>111.6769019</v>
      </c>
      <c r="AL19" s="42">
        <v>6.1575533729999998</v>
      </c>
      <c r="AM19" s="2">
        <v>375.5</v>
      </c>
      <c r="AN19" s="2">
        <v>4.5</v>
      </c>
      <c r="AO19" s="41">
        <v>221.61479947913739</v>
      </c>
      <c r="AP19" s="42">
        <v>5.0276021850390435</v>
      </c>
      <c r="AQ19" s="27">
        <v>3.5550000000000002</v>
      </c>
      <c r="AR19" s="43">
        <v>8.4999999999999964E-2</v>
      </c>
      <c r="AS19" s="44">
        <v>70.5</v>
      </c>
      <c r="AT19" s="42">
        <v>2.5</v>
      </c>
    </row>
    <row r="20" spans="1:46">
      <c r="A20" s="30">
        <v>16</v>
      </c>
      <c r="B20" s="185"/>
      <c r="C20" s="30">
        <v>460</v>
      </c>
      <c r="D20" s="31">
        <v>800</v>
      </c>
      <c r="E20" s="31">
        <v>0.06</v>
      </c>
      <c r="F20" s="32">
        <v>0.1</v>
      </c>
      <c r="G20" s="33">
        <v>0.57499999999999996</v>
      </c>
      <c r="H20" s="34">
        <v>95.833333333333314</v>
      </c>
      <c r="I20" s="34">
        <v>16.263455967290593</v>
      </c>
      <c r="J20" s="35">
        <v>368</v>
      </c>
      <c r="K20" s="36">
        <v>24.618924655585612</v>
      </c>
      <c r="L20" s="27">
        <v>12.457362512096452</v>
      </c>
      <c r="M20" s="27">
        <v>31.393037615047334</v>
      </c>
      <c r="N20" s="37">
        <v>16.468531335516257</v>
      </c>
      <c r="O20" s="52">
        <v>7.7302946904714513</v>
      </c>
      <c r="P20" s="52">
        <v>6.4271616513555125</v>
      </c>
      <c r="Q20" s="52">
        <v>8.5478179216524559</v>
      </c>
      <c r="R20" s="52">
        <v>0.973456914091264</v>
      </c>
      <c r="S20" s="52">
        <v>0.31317635102621671</v>
      </c>
      <c r="T20" s="52">
        <v>0.92303890329289739</v>
      </c>
      <c r="U20" s="52">
        <v>0.75038840858925215</v>
      </c>
      <c r="V20" s="52">
        <v>0.9289014239298341</v>
      </c>
      <c r="W20" s="53">
        <v>0.30323696778313836</v>
      </c>
      <c r="X20" s="65">
        <v>1.1061000000000001</v>
      </c>
      <c r="Y20" s="65">
        <v>0.80786000000000002</v>
      </c>
      <c r="Z20" s="33">
        <v>0.91714447099999996</v>
      </c>
      <c r="AA20" s="27">
        <v>0.90513866799999998</v>
      </c>
      <c r="AB20" s="49">
        <v>8.9231908999999998E-2</v>
      </c>
      <c r="AC20" s="34">
        <v>88.644534759999999</v>
      </c>
      <c r="AD20" s="34">
        <v>31.649819480000001</v>
      </c>
      <c r="AE20" s="34">
        <v>99.524808583711703</v>
      </c>
      <c r="AF20" s="34">
        <v>105.202354864981</v>
      </c>
      <c r="AG20" s="39">
        <v>3.9891804010773599</v>
      </c>
      <c r="AH20" s="40">
        <v>0.20511000444687499</v>
      </c>
      <c r="AI20" s="3">
        <v>4.0145131086142074</v>
      </c>
      <c r="AJ20" s="38">
        <v>0.43642809352117284</v>
      </c>
      <c r="AK20" s="41">
        <v>112.52847250000001</v>
      </c>
      <c r="AL20" s="42">
        <v>6.5311361310000002</v>
      </c>
      <c r="AM20" s="2">
        <v>371</v>
      </c>
      <c r="AN20" s="2">
        <v>5</v>
      </c>
      <c r="AO20" s="41">
        <v>219.61662915226739</v>
      </c>
      <c r="AP20" s="42">
        <v>3.60108307606518</v>
      </c>
      <c r="AQ20" s="27">
        <v>3.5700000000000003</v>
      </c>
      <c r="AR20" s="43">
        <v>3.0000000000000027E-2</v>
      </c>
      <c r="AS20" s="44">
        <v>66</v>
      </c>
      <c r="AT20" s="42">
        <v>2</v>
      </c>
    </row>
    <row r="21" spans="1:46">
      <c r="A21" s="30">
        <v>17</v>
      </c>
      <c r="B21" s="185"/>
      <c r="C21" s="30">
        <v>460</v>
      </c>
      <c r="D21" s="31">
        <v>1350</v>
      </c>
      <c r="E21" s="31">
        <v>0.06</v>
      </c>
      <c r="F21" s="32">
        <v>0.1</v>
      </c>
      <c r="G21" s="33">
        <v>0.34074074074074073</v>
      </c>
      <c r="H21" s="34">
        <v>56.790123456790127</v>
      </c>
      <c r="I21" s="34">
        <v>12.519614240891798</v>
      </c>
      <c r="J21" s="35">
        <v>621</v>
      </c>
      <c r="K21" s="36">
        <v>16.826562627656585</v>
      </c>
      <c r="L21" s="27">
        <v>2.1482358574148215</v>
      </c>
      <c r="M21" s="27">
        <v>21.014252868923876</v>
      </c>
      <c r="N21" s="37">
        <v>2.9042193567614114</v>
      </c>
      <c r="O21" s="52">
        <v>8.0692620281109466</v>
      </c>
      <c r="P21" s="52">
        <v>6.5513241616468845</v>
      </c>
      <c r="Q21" s="52">
        <v>8.6923627065350644</v>
      </c>
      <c r="R21" s="52">
        <v>0.89153679241691208</v>
      </c>
      <c r="S21" s="52">
        <v>0.32808217132357748</v>
      </c>
      <c r="T21" s="52">
        <v>0.84674184171688505</v>
      </c>
      <c r="U21" s="52">
        <v>0.7670444478754278</v>
      </c>
      <c r="V21" s="52">
        <v>0.92476518444068634</v>
      </c>
      <c r="W21" s="53">
        <v>0.28070649848727375</v>
      </c>
      <c r="X21" s="65">
        <v>1.1122000000000001</v>
      </c>
      <c r="Y21" s="65">
        <v>0.83984999999999999</v>
      </c>
      <c r="Z21" s="33">
        <v>0.84528835800000002</v>
      </c>
      <c r="AA21" s="27">
        <v>0.83926091300000005</v>
      </c>
      <c r="AB21" s="49">
        <v>7.8320289000000001E-2</v>
      </c>
      <c r="AC21" s="34">
        <v>58.084471370000003</v>
      </c>
      <c r="AD21" s="34">
        <v>20.411632999999998</v>
      </c>
      <c r="AE21" s="34">
        <v>65.120368276179406</v>
      </c>
      <c r="AF21" s="34">
        <v>69.053235207298997</v>
      </c>
      <c r="AG21" s="39">
        <v>0.16525410157199399</v>
      </c>
      <c r="AH21" s="40">
        <v>1.35804556661713E-2</v>
      </c>
      <c r="AI21" s="3">
        <v>0.80093627130419975</v>
      </c>
      <c r="AJ21" s="38">
        <v>0.47916721258267658</v>
      </c>
      <c r="AK21" s="41">
        <v>115.3175126</v>
      </c>
      <c r="AL21" s="42">
        <v>7.837012466</v>
      </c>
      <c r="AM21" s="2">
        <v>380.5</v>
      </c>
      <c r="AN21" s="2">
        <v>1.5</v>
      </c>
      <c r="AO21" s="41">
        <v>227.20722432416511</v>
      </c>
      <c r="AP21" s="42">
        <v>0.72882374708336783</v>
      </c>
      <c r="AQ21" s="27">
        <v>3.58</v>
      </c>
      <c r="AR21" s="43">
        <v>6.0000000000000053E-2</v>
      </c>
      <c r="AS21" s="44">
        <v>67</v>
      </c>
      <c r="AT21" s="42">
        <v>1</v>
      </c>
    </row>
    <row r="22" spans="1:46">
      <c r="A22" s="30">
        <v>18</v>
      </c>
      <c r="B22" s="185"/>
      <c r="C22" s="30">
        <v>460</v>
      </c>
      <c r="D22" s="31">
        <v>1900</v>
      </c>
      <c r="E22" s="31">
        <v>0.06</v>
      </c>
      <c r="F22" s="32">
        <v>0.1</v>
      </c>
      <c r="G22" s="33">
        <v>0.24210526315789474</v>
      </c>
      <c r="H22" s="34">
        <v>40.350877192982452</v>
      </c>
      <c r="I22" s="34">
        <v>10.553123758045841</v>
      </c>
      <c r="J22" s="35">
        <v>874</v>
      </c>
      <c r="K22" s="36">
        <v>17.223228167627298</v>
      </c>
      <c r="L22" s="27">
        <v>3.818793997987</v>
      </c>
      <c r="M22" s="27">
        <v>21.435621802037737</v>
      </c>
      <c r="N22" s="37">
        <v>4.9314491680565729</v>
      </c>
      <c r="O22" s="52">
        <v>8.7236149620049837</v>
      </c>
      <c r="P22" s="52">
        <v>6.4526032683743217</v>
      </c>
      <c r="Q22" s="52">
        <v>7.6357562638085668</v>
      </c>
      <c r="R22" s="52">
        <v>0.68970088742528757</v>
      </c>
      <c r="S22" s="52">
        <v>0.39177379814271507</v>
      </c>
      <c r="T22" s="52">
        <v>0.40694602443612538</v>
      </c>
      <c r="U22" s="52">
        <v>0.742016216681332</v>
      </c>
      <c r="V22" s="52">
        <v>0.89315051581879745</v>
      </c>
      <c r="W22" s="53">
        <v>0.28800323843672482</v>
      </c>
      <c r="X22" s="65">
        <v>0.91942999999999997</v>
      </c>
      <c r="Y22" s="65">
        <v>0.60065999999999997</v>
      </c>
      <c r="Z22" s="33">
        <v>0.83597226899999999</v>
      </c>
      <c r="AA22" s="27">
        <v>0.84596533399999996</v>
      </c>
      <c r="AB22" s="49">
        <v>6.9637958999999999E-2</v>
      </c>
      <c r="AC22" s="34">
        <v>57.390913949999998</v>
      </c>
      <c r="AD22" s="34">
        <v>20.266609299999999</v>
      </c>
      <c r="AE22" s="34">
        <v>64.464557520540197</v>
      </c>
      <c r="AF22" s="34">
        <v>68.906793157853798</v>
      </c>
      <c r="AG22" s="39">
        <v>0.19873755849060301</v>
      </c>
      <c r="AH22" s="40">
        <v>1.6520397241643999E-2</v>
      </c>
      <c r="AI22" s="3">
        <v>0.8194994056621191</v>
      </c>
      <c r="AJ22" s="38">
        <v>0.35317191308391865</v>
      </c>
      <c r="AK22" s="41">
        <v>111.1171523</v>
      </c>
      <c r="AL22" s="42">
        <v>7.1493673549999999</v>
      </c>
      <c r="AM22" s="2">
        <v>371.5</v>
      </c>
      <c r="AN22" s="2">
        <v>5.5</v>
      </c>
      <c r="AO22" s="41">
        <v>219.16920337996595</v>
      </c>
      <c r="AP22" s="42">
        <v>3.2554505326574343</v>
      </c>
      <c r="AQ22" s="27">
        <v>3.3049999999999997</v>
      </c>
      <c r="AR22" s="43">
        <v>0.24499999999999988</v>
      </c>
      <c r="AS22" s="44">
        <v>73</v>
      </c>
      <c r="AT22" s="42">
        <v>4</v>
      </c>
    </row>
    <row r="23" spans="1:46">
      <c r="A23" s="30">
        <v>19</v>
      </c>
      <c r="B23" s="185"/>
      <c r="C23" s="30">
        <v>460</v>
      </c>
      <c r="D23" s="31">
        <v>2450</v>
      </c>
      <c r="E23" s="31">
        <v>0.06</v>
      </c>
      <c r="F23" s="32">
        <v>0.1</v>
      </c>
      <c r="G23" s="33">
        <v>0.18775510204081633</v>
      </c>
      <c r="H23" s="34">
        <v>31.292517006802719</v>
      </c>
      <c r="I23" s="34">
        <v>9.2934034098803391</v>
      </c>
      <c r="J23" s="35">
        <v>1127</v>
      </c>
      <c r="K23" s="36">
        <v>16.088149334618311</v>
      </c>
      <c r="L23" s="27">
        <v>2.2733747760513361</v>
      </c>
      <c r="M23" s="27">
        <v>20.836784992696046</v>
      </c>
      <c r="N23" s="37">
        <v>4.4261776494973093</v>
      </c>
      <c r="O23" s="52">
        <v>7.4867688326787665</v>
      </c>
      <c r="P23" s="52">
        <v>5.9537762119583286</v>
      </c>
      <c r="Q23" s="52">
        <v>7.0377951129717751</v>
      </c>
      <c r="R23" s="52">
        <v>0.84987915139513359</v>
      </c>
      <c r="S23" s="52">
        <v>0.37566941688324251</v>
      </c>
      <c r="T23" s="52">
        <v>0.78180807311350553</v>
      </c>
      <c r="U23" s="52">
        <v>0.77255251169752059</v>
      </c>
      <c r="V23" s="52">
        <v>0.89829095678661308</v>
      </c>
      <c r="W23" s="53">
        <v>0.26237343684415071</v>
      </c>
      <c r="X23" s="65">
        <v>0.94847999999999999</v>
      </c>
      <c r="Y23" s="65">
        <v>0.54015000000000002</v>
      </c>
      <c r="Z23" s="33">
        <v>0.85048892700000001</v>
      </c>
      <c r="AA23" s="27">
        <v>0.86475862699999995</v>
      </c>
      <c r="AB23" s="49">
        <v>7.9467916E-2</v>
      </c>
      <c r="AC23" s="34">
        <v>58.986199360000001</v>
      </c>
      <c r="AD23" s="34">
        <v>21.239806999999999</v>
      </c>
      <c r="AE23" s="34">
        <v>66.448864027609602</v>
      </c>
      <c r="AF23" s="34">
        <v>70.310582186924194</v>
      </c>
      <c r="AG23" s="39">
        <v>0.20651094067442299</v>
      </c>
      <c r="AH23" s="40">
        <v>1.5355697562425901E-2</v>
      </c>
      <c r="AI23" s="3">
        <v>0.61892873857814801</v>
      </c>
      <c r="AJ23" s="38">
        <v>0.43579079172564683</v>
      </c>
      <c r="AK23" s="41">
        <v>114.59341240000001</v>
      </c>
      <c r="AL23" s="42">
        <v>3.3759188130000002</v>
      </c>
      <c r="AM23" s="2">
        <v>373</v>
      </c>
      <c r="AN23" s="2">
        <v>6</v>
      </c>
      <c r="AO23" s="41">
        <v>218.20565140402385</v>
      </c>
      <c r="AP23" s="42">
        <v>2.2541727744700069</v>
      </c>
      <c r="AQ23" s="27">
        <v>3.5599999999999996</v>
      </c>
      <c r="AR23" s="43">
        <v>0.21999999999999997</v>
      </c>
      <c r="AS23" s="44">
        <v>70.5</v>
      </c>
      <c r="AT23" s="42">
        <v>2.5</v>
      </c>
    </row>
    <row r="24" spans="1:46">
      <c r="A24" s="30">
        <v>20</v>
      </c>
      <c r="B24" s="185"/>
      <c r="C24" s="30">
        <v>460</v>
      </c>
      <c r="D24" s="31">
        <v>3000</v>
      </c>
      <c r="E24" s="31">
        <v>0.06</v>
      </c>
      <c r="F24" s="32">
        <v>0.1</v>
      </c>
      <c r="G24" s="33">
        <v>0.15333333333333332</v>
      </c>
      <c r="H24" s="34">
        <v>25.555555555555557</v>
      </c>
      <c r="I24" s="34">
        <v>8.398412548412546</v>
      </c>
      <c r="J24" s="35">
        <v>1380</v>
      </c>
      <c r="K24" s="36">
        <v>14.862796283972175</v>
      </c>
      <c r="L24" s="27">
        <v>1.4780007987849482</v>
      </c>
      <c r="M24" s="27">
        <v>18.755216328503959</v>
      </c>
      <c r="N24" s="37">
        <v>1.2645874165084086</v>
      </c>
      <c r="O24" s="52">
        <v>8.4145204174617643</v>
      </c>
      <c r="P24" s="52">
        <v>6.6999231800901127</v>
      </c>
      <c r="Q24" s="52">
        <v>8.925078689543712</v>
      </c>
      <c r="R24" s="52">
        <v>0.86808235680412915</v>
      </c>
      <c r="S24" s="52">
        <v>0.32360606706241413</v>
      </c>
      <c r="T24" s="52">
        <v>0.83797279715421702</v>
      </c>
      <c r="U24" s="52">
        <v>0.77810825691513419</v>
      </c>
      <c r="V24" s="52">
        <v>0.92217099234205946</v>
      </c>
      <c r="W24" s="53">
        <v>0.27561087650735439</v>
      </c>
      <c r="X24" s="65">
        <v>0.98143999999999998</v>
      </c>
      <c r="Y24" s="65">
        <v>0.63085999999999998</v>
      </c>
      <c r="Z24" s="33">
        <v>0.83988009100000005</v>
      </c>
      <c r="AA24" s="27">
        <v>0.85140251</v>
      </c>
      <c r="AB24" s="49">
        <v>6.9833976000000006E-2</v>
      </c>
      <c r="AC24" s="34">
        <v>56.132398870000003</v>
      </c>
      <c r="AD24" s="34">
        <v>20.038011659999999</v>
      </c>
      <c r="AE24" s="34">
        <v>63.258552610995999</v>
      </c>
      <c r="AF24" s="34">
        <v>68.861460945428206</v>
      </c>
      <c r="AG24" s="39">
        <v>0.169407199159296</v>
      </c>
      <c r="AH24" s="40">
        <v>1.2517108846172E-2</v>
      </c>
      <c r="AI24" s="3">
        <v>0.25749063670410188</v>
      </c>
      <c r="AJ24" s="38">
        <v>0.66582993688196235</v>
      </c>
      <c r="AK24" s="41">
        <v>114.41547919999999</v>
      </c>
      <c r="AL24" s="42">
        <v>6.8141236220000003</v>
      </c>
      <c r="AM24" s="2">
        <v>381</v>
      </c>
      <c r="AN24" s="2">
        <v>2</v>
      </c>
      <c r="AO24" s="41">
        <v>223.1591518931769</v>
      </c>
      <c r="AP24" s="42">
        <v>0.86304722001402467</v>
      </c>
      <c r="AQ24" s="27">
        <v>3.7050000000000001</v>
      </c>
      <c r="AR24" s="43">
        <v>7.4999999999999956E-2</v>
      </c>
      <c r="AS24" s="44">
        <v>69.5</v>
      </c>
      <c r="AT24" s="42">
        <v>0.5</v>
      </c>
    </row>
    <row r="25" spans="1:46">
      <c r="A25" s="30">
        <v>21</v>
      </c>
      <c r="B25" s="185"/>
      <c r="C25" s="30">
        <v>110</v>
      </c>
      <c r="D25" s="31">
        <v>250</v>
      </c>
      <c r="E25" s="31">
        <v>0.06</v>
      </c>
      <c r="F25" s="32">
        <v>0.1</v>
      </c>
      <c r="G25" s="33">
        <v>0.44</v>
      </c>
      <c r="H25" s="34">
        <v>73.333333333333329</v>
      </c>
      <c r="I25" s="34">
        <v>6.957010852370435</v>
      </c>
      <c r="J25" s="35">
        <v>27.5</v>
      </c>
      <c r="K25" s="36">
        <v>14.506979609335936</v>
      </c>
      <c r="L25" s="27">
        <v>1.9517706959868875</v>
      </c>
      <c r="M25" s="27">
        <v>18.205084452294734</v>
      </c>
      <c r="N25" s="37">
        <v>1.8510457956826507</v>
      </c>
      <c r="O25" s="52">
        <v>9.9346294360978202</v>
      </c>
      <c r="P25" s="52">
        <v>7.5617364016957227</v>
      </c>
      <c r="Q25" s="52">
        <v>10.845064394407405</v>
      </c>
      <c r="R25" s="52">
        <v>0.64757610858848447</v>
      </c>
      <c r="S25" s="52">
        <v>0.29927253676830906</v>
      </c>
      <c r="T25" s="52">
        <v>0.3557981828705305</v>
      </c>
      <c r="U25" s="52">
        <v>0.78478702564110914</v>
      </c>
      <c r="V25" s="52">
        <v>0.92462801664079897</v>
      </c>
      <c r="W25" s="53">
        <v>0.2558468242851239</v>
      </c>
      <c r="X25" s="65">
        <v>1.0851999999999999</v>
      </c>
      <c r="Y25" s="65">
        <v>0.77193000000000001</v>
      </c>
      <c r="Z25" s="33">
        <v>0.83925097800000004</v>
      </c>
      <c r="AA25" s="27">
        <v>0.85788781300000005</v>
      </c>
      <c r="AB25" s="49">
        <v>8.3658308000000001E-2</v>
      </c>
      <c r="AC25" s="34">
        <v>59.80074226</v>
      </c>
      <c r="AD25" s="34">
        <v>21.854999880000001</v>
      </c>
      <c r="AE25" s="34">
        <v>67.688966913841796</v>
      </c>
      <c r="AF25" s="34">
        <v>73.379796667545605</v>
      </c>
      <c r="AG25" s="39">
        <v>0.204480119554388</v>
      </c>
      <c r="AH25" s="40">
        <v>1.5912275918354798E-2</v>
      </c>
      <c r="AI25" s="3">
        <v>0.88112133830848971</v>
      </c>
      <c r="AJ25" s="38">
        <v>0.29076243724726403</v>
      </c>
      <c r="AK25" s="41">
        <v>108.7507134</v>
      </c>
      <c r="AL25" s="42">
        <v>5.9183217900000002</v>
      </c>
      <c r="AM25" s="2">
        <v>381.5</v>
      </c>
      <c r="AN25" s="2">
        <v>6.5</v>
      </c>
      <c r="AO25" s="41">
        <v>228.4582693754333</v>
      </c>
      <c r="AP25" s="42">
        <v>0.82134892817170169</v>
      </c>
      <c r="AQ25" s="27">
        <v>3.38</v>
      </c>
      <c r="AR25" s="43">
        <v>0.24</v>
      </c>
      <c r="AS25" s="44">
        <v>71.5</v>
      </c>
      <c r="AT25" s="42">
        <v>0.5</v>
      </c>
    </row>
    <row r="26" spans="1:46">
      <c r="A26" s="30">
        <v>22</v>
      </c>
      <c r="B26" s="185"/>
      <c r="C26" s="30">
        <v>210</v>
      </c>
      <c r="D26" s="31">
        <v>250</v>
      </c>
      <c r="E26" s="31">
        <v>0.06</v>
      </c>
      <c r="F26" s="32">
        <v>0.1</v>
      </c>
      <c r="G26" s="33">
        <v>0.84</v>
      </c>
      <c r="H26" s="34">
        <v>140</v>
      </c>
      <c r="I26" s="34">
        <v>13.281566172707194</v>
      </c>
      <c r="J26" s="35">
        <v>52.5</v>
      </c>
      <c r="K26" s="36">
        <v>14.413926790766237</v>
      </c>
      <c r="L26" s="27">
        <v>2.0947503540147832</v>
      </c>
      <c r="M26" s="27">
        <v>18.889894887873226</v>
      </c>
      <c r="N26" s="37">
        <v>2.1983894052824491</v>
      </c>
      <c r="O26" s="52">
        <v>8.3535286001880262</v>
      </c>
      <c r="P26" s="52">
        <v>6.8900981550619065</v>
      </c>
      <c r="Q26" s="52">
        <v>9.6881040625139523</v>
      </c>
      <c r="R26" s="52">
        <v>0.94822173863631543</v>
      </c>
      <c r="S26" s="52">
        <v>0.2929330523441776</v>
      </c>
      <c r="T26" s="52">
        <v>0.91168191218623251</v>
      </c>
      <c r="U26" s="52">
        <v>0.75750472611976516</v>
      </c>
      <c r="V26" s="52">
        <v>0.9292763795143415</v>
      </c>
      <c r="W26" s="53">
        <v>0.29970731744928752</v>
      </c>
      <c r="X26" s="65">
        <v>1.2508999999999999</v>
      </c>
      <c r="Y26" s="65">
        <v>0.97067999999999999</v>
      </c>
      <c r="Z26" s="33">
        <v>0.83679828099999998</v>
      </c>
      <c r="AA26" s="27">
        <v>0.84886111799999997</v>
      </c>
      <c r="AB26" s="49">
        <v>8.6980341000000003E-2</v>
      </c>
      <c r="AC26" s="34">
        <v>60.984350839999998</v>
      </c>
      <c r="AD26" s="34">
        <v>22.217384280000001</v>
      </c>
      <c r="AE26" s="34">
        <v>68.8550824215246</v>
      </c>
      <c r="AF26" s="34">
        <v>73.347665652907594</v>
      </c>
      <c r="AG26" s="39">
        <v>0.176972476366484</v>
      </c>
      <c r="AH26" s="40">
        <v>1.46137787444092E-2</v>
      </c>
      <c r="AI26" s="3">
        <v>1.090552001051813</v>
      </c>
      <c r="AJ26" s="38">
        <v>0.30244272766280017</v>
      </c>
      <c r="AK26" s="41">
        <v>112.83117679999999</v>
      </c>
      <c r="AL26" s="42">
        <v>7.2596008830000001</v>
      </c>
      <c r="AM26" s="2">
        <v>379</v>
      </c>
      <c r="AN26" s="2">
        <v>1</v>
      </c>
      <c r="AO26" s="41">
        <v>222.71598534007509</v>
      </c>
      <c r="AP26" s="42">
        <v>0.33345597961331919</v>
      </c>
      <c r="AQ26" s="27">
        <v>3.85</v>
      </c>
      <c r="AR26" s="43">
        <v>8.0000000000000071E-2</v>
      </c>
      <c r="AS26" s="44">
        <v>72</v>
      </c>
      <c r="AT26" s="42">
        <v>4</v>
      </c>
    </row>
    <row r="27" spans="1:46">
      <c r="A27" s="30">
        <v>23</v>
      </c>
      <c r="B27" s="185"/>
      <c r="C27" s="30">
        <v>60</v>
      </c>
      <c r="D27" s="31">
        <v>500</v>
      </c>
      <c r="E27" s="31">
        <v>0.06</v>
      </c>
      <c r="F27" s="32">
        <v>0.1</v>
      </c>
      <c r="G27" s="33">
        <v>0.12</v>
      </c>
      <c r="H27" s="34">
        <v>20</v>
      </c>
      <c r="I27" s="34">
        <v>2.6832815729997477</v>
      </c>
      <c r="J27" s="35">
        <v>30</v>
      </c>
      <c r="K27" s="36">
        <v>14.252318080387525</v>
      </c>
      <c r="L27" s="27">
        <v>3.6280723209699661</v>
      </c>
      <c r="M27" s="27">
        <v>17.938642504287039</v>
      </c>
      <c r="N27" s="37">
        <v>4.1025417055126567</v>
      </c>
      <c r="O27" s="52">
        <v>8.3605917721176244</v>
      </c>
      <c r="P27" s="52">
        <v>6.5627781802169602</v>
      </c>
      <c r="Q27" s="52">
        <v>8.45634585273101</v>
      </c>
      <c r="R27" s="52">
        <v>0.83900937531424369</v>
      </c>
      <c r="S27" s="52">
        <v>0.33878521427478736</v>
      </c>
      <c r="T27" s="52">
        <v>0.79539069269326745</v>
      </c>
      <c r="U27" s="52">
        <v>0.78513052036811504</v>
      </c>
      <c r="V27" s="52">
        <v>0.92018642474874934</v>
      </c>
      <c r="W27" s="53">
        <v>0.2639209996496043</v>
      </c>
      <c r="X27" s="65">
        <v>0.96741999999999995</v>
      </c>
      <c r="Y27" s="65">
        <v>0.60709999999999997</v>
      </c>
      <c r="Z27" s="33">
        <v>0.85599563700000003</v>
      </c>
      <c r="AA27" s="27">
        <v>0.87347881999999999</v>
      </c>
      <c r="AB27" s="49">
        <v>8.4901594999999996E-2</v>
      </c>
      <c r="AC27" s="34">
        <v>62.29481466</v>
      </c>
      <c r="AD27" s="34">
        <v>22.536681380000001</v>
      </c>
      <c r="AE27" s="34">
        <v>70.278686360257794</v>
      </c>
      <c r="AF27" s="34">
        <v>75.910013550632897</v>
      </c>
      <c r="AG27" s="39">
        <v>0.19668416326372001</v>
      </c>
      <c r="AH27" s="40">
        <v>1.67794463940645E-2</v>
      </c>
      <c r="AI27" s="3">
        <v>0.7892795070587707</v>
      </c>
      <c r="AJ27" s="38">
        <v>0.31727124026806003</v>
      </c>
      <c r="AK27" s="41">
        <v>123.52463299999999</v>
      </c>
      <c r="AL27" s="42">
        <v>4.952749421</v>
      </c>
      <c r="AM27" s="2">
        <v>384.5</v>
      </c>
      <c r="AN27" s="2">
        <v>1.5</v>
      </c>
      <c r="AO27" s="41">
        <v>237.4087160489122</v>
      </c>
      <c r="AP27" s="42">
        <v>0.97812247166901045</v>
      </c>
      <c r="AQ27" s="27">
        <v>3.2450000000000001</v>
      </c>
      <c r="AR27" s="43">
        <v>0.20500000000000007</v>
      </c>
      <c r="AS27" s="44">
        <v>76.5</v>
      </c>
      <c r="AT27" s="42">
        <v>4.5</v>
      </c>
    </row>
    <row r="28" spans="1:46">
      <c r="A28" s="30">
        <v>24</v>
      </c>
      <c r="B28" s="185"/>
      <c r="C28" s="30">
        <v>110</v>
      </c>
      <c r="D28" s="31">
        <v>500</v>
      </c>
      <c r="E28" s="31">
        <v>0.06</v>
      </c>
      <c r="F28" s="32">
        <v>0.1</v>
      </c>
      <c r="G28" s="33">
        <v>0.22</v>
      </c>
      <c r="H28" s="34">
        <v>36.666666666666664</v>
      </c>
      <c r="I28" s="34">
        <v>4.919349550499537</v>
      </c>
      <c r="J28" s="35">
        <v>55</v>
      </c>
      <c r="K28" s="36">
        <v>18.158815432318001</v>
      </c>
      <c r="L28" s="27">
        <v>4.674931778875191</v>
      </c>
      <c r="M28" s="27">
        <v>22.54027633260236</v>
      </c>
      <c r="N28" s="37">
        <v>5.5979072126096483</v>
      </c>
      <c r="O28" s="52">
        <v>10.641587724750922</v>
      </c>
      <c r="P28" s="52">
        <v>8.2055976620631164</v>
      </c>
      <c r="Q28" s="52">
        <v>12.773532883750359</v>
      </c>
      <c r="R28" s="52">
        <v>0.67679226302928419</v>
      </c>
      <c r="S28" s="52">
        <v>0.28354636374687575</v>
      </c>
      <c r="T28" s="52">
        <v>0.42547597253891101</v>
      </c>
      <c r="U28" s="52">
        <v>0.75845827547779066</v>
      </c>
      <c r="V28" s="52">
        <v>0.92355918477605092</v>
      </c>
      <c r="W28" s="53">
        <v>0.29379636825108479</v>
      </c>
      <c r="X28" s="65">
        <v>1.0105999999999999</v>
      </c>
      <c r="Y28" s="65">
        <v>0.60706000000000004</v>
      </c>
      <c r="Z28" s="33">
        <v>0.84006221400000003</v>
      </c>
      <c r="AA28" s="27">
        <v>0.83333267</v>
      </c>
      <c r="AB28" s="49">
        <v>9.3013837000000002E-2</v>
      </c>
      <c r="AC28" s="34">
        <v>59.985497510000002</v>
      </c>
      <c r="AD28" s="34">
        <v>22.331686189999999</v>
      </c>
      <c r="AE28" s="34">
        <v>68.303324656322403</v>
      </c>
      <c r="AF28" s="34">
        <v>79.348202968757107</v>
      </c>
      <c r="AG28" s="39">
        <v>0.18070250724804299</v>
      </c>
      <c r="AH28" s="40">
        <v>1.51869122287811E-2</v>
      </c>
      <c r="AI28" s="3">
        <v>1.2608427024251427</v>
      </c>
      <c r="AJ28" s="38">
        <v>9.4198271964386196E-2</v>
      </c>
      <c r="AK28" s="41">
        <v>115.23877779999999</v>
      </c>
      <c r="AL28" s="45">
        <v>10.262927660000001</v>
      </c>
      <c r="AM28" s="2">
        <v>379.5</v>
      </c>
      <c r="AN28" s="2">
        <v>6.5</v>
      </c>
      <c r="AO28" s="41">
        <v>228.24304445183853</v>
      </c>
      <c r="AP28" s="42">
        <v>3.262010682220108</v>
      </c>
      <c r="AQ28" s="27">
        <v>3.3849999999999998</v>
      </c>
      <c r="AR28" s="43">
        <v>0.27500000000000013</v>
      </c>
      <c r="AS28" s="44">
        <v>73</v>
      </c>
      <c r="AT28" s="42">
        <v>2</v>
      </c>
    </row>
    <row r="29" spans="1:46">
      <c r="A29" s="30">
        <v>25</v>
      </c>
      <c r="B29" s="185"/>
      <c r="C29" s="30">
        <v>160</v>
      </c>
      <c r="D29" s="31">
        <v>500</v>
      </c>
      <c r="E29" s="31">
        <v>0.06</v>
      </c>
      <c r="F29" s="32">
        <v>0.1</v>
      </c>
      <c r="G29" s="33">
        <v>0.32</v>
      </c>
      <c r="H29" s="34">
        <v>53.333333333333336</v>
      </c>
      <c r="I29" s="34">
        <v>7.1554175279993268</v>
      </c>
      <c r="J29" s="35">
        <v>80</v>
      </c>
      <c r="K29" s="36">
        <v>15.596055433360686</v>
      </c>
      <c r="L29" s="27">
        <v>1.9873711886812566</v>
      </c>
      <c r="M29" s="27">
        <v>19.209940692119112</v>
      </c>
      <c r="N29" s="37">
        <v>2.520193303869156</v>
      </c>
      <c r="O29" s="52">
        <v>10.441690391971148</v>
      </c>
      <c r="P29" s="52">
        <v>8.4341631453164201</v>
      </c>
      <c r="Q29" s="52">
        <v>13.824796748487387</v>
      </c>
      <c r="R29" s="52">
        <v>0.73351077365760609</v>
      </c>
      <c r="S29" s="52">
        <v>0.23804199921446331</v>
      </c>
      <c r="T29" s="52">
        <v>0.60389266242244311</v>
      </c>
      <c r="U29" s="52">
        <v>0.80331763154129443</v>
      </c>
      <c r="V29" s="52">
        <v>0.94068529171518922</v>
      </c>
      <c r="W29" s="53">
        <v>0.25021857032656908</v>
      </c>
      <c r="X29" s="65">
        <v>0.93364000000000003</v>
      </c>
      <c r="Y29" s="65">
        <v>0.624</v>
      </c>
      <c r="Z29" s="33">
        <v>0.82582612700000002</v>
      </c>
      <c r="AA29" s="27">
        <v>0.82530743600000001</v>
      </c>
      <c r="AB29" s="49">
        <v>6.8661294999999997E-2</v>
      </c>
      <c r="AC29" s="34">
        <v>57.676820859999999</v>
      </c>
      <c r="AD29" s="34">
        <v>20.36499259</v>
      </c>
      <c r="AE29" s="34">
        <v>64.764190430506702</v>
      </c>
      <c r="AF29" s="34">
        <v>69.086970273967907</v>
      </c>
      <c r="AG29" s="39">
        <v>0.24774341150072501</v>
      </c>
      <c r="AH29" s="40">
        <v>2.1249298820699002E-2</v>
      </c>
      <c r="AI29" s="3">
        <v>0.92766148558475603</v>
      </c>
      <c r="AJ29" s="38">
        <v>0.6832871239540661</v>
      </c>
      <c r="AK29" s="41">
        <v>115.1727162</v>
      </c>
      <c r="AL29" s="42">
        <v>5.9672325190000004</v>
      </c>
      <c r="AM29" s="2">
        <v>382.5</v>
      </c>
      <c r="AN29" s="2">
        <v>2.5</v>
      </c>
      <c r="AO29" s="41">
        <v>224.62882597952802</v>
      </c>
      <c r="AP29" s="42">
        <v>0.46929439782604732</v>
      </c>
      <c r="AQ29" s="27">
        <v>3.5750000000000002</v>
      </c>
      <c r="AR29" s="43">
        <v>8.4999999999999964E-2</v>
      </c>
      <c r="AS29" s="44">
        <v>76</v>
      </c>
      <c r="AT29" s="42">
        <v>0</v>
      </c>
    </row>
    <row r="30" spans="1:46">
      <c r="A30" s="30">
        <v>26</v>
      </c>
      <c r="B30" s="185"/>
      <c r="C30" s="30">
        <v>210</v>
      </c>
      <c r="D30" s="31">
        <v>500</v>
      </c>
      <c r="E30" s="31">
        <v>0.06</v>
      </c>
      <c r="F30" s="32">
        <v>0.1</v>
      </c>
      <c r="G30" s="33">
        <v>0.42</v>
      </c>
      <c r="H30" s="34">
        <v>70</v>
      </c>
      <c r="I30" s="34">
        <v>9.3914855054991158</v>
      </c>
      <c r="J30" s="35">
        <v>105</v>
      </c>
      <c r="K30" s="36">
        <v>14.961535088260735</v>
      </c>
      <c r="L30" s="27">
        <v>2.4584093744751914</v>
      </c>
      <c r="M30" s="27">
        <v>18.855639397713489</v>
      </c>
      <c r="N30" s="37">
        <v>2.9396909227385444</v>
      </c>
      <c r="O30" s="52">
        <v>10.631406542082908</v>
      </c>
      <c r="P30" s="52">
        <v>8.3626514855566185</v>
      </c>
      <c r="Q30" s="52">
        <v>13.399878058993616</v>
      </c>
      <c r="R30" s="52">
        <v>0.65137458257118097</v>
      </c>
      <c r="S30" s="52">
        <v>0.24911006926831741</v>
      </c>
      <c r="T30" s="52">
        <v>0.40353331895848171</v>
      </c>
      <c r="U30" s="52">
        <v>0.79071936663633258</v>
      </c>
      <c r="V30" s="52">
        <v>0.94511026483881033</v>
      </c>
      <c r="W30" s="53">
        <v>0.26903529755668854</v>
      </c>
      <c r="X30" s="65">
        <v>1.087</v>
      </c>
      <c r="Y30" s="65">
        <v>0.74963000000000002</v>
      </c>
      <c r="Z30" s="33">
        <v>0.82520714799999995</v>
      </c>
      <c r="AA30" s="27">
        <v>0.83587721800000003</v>
      </c>
      <c r="AB30" s="49">
        <v>7.5900555999999994E-2</v>
      </c>
      <c r="AC30" s="34">
        <v>56.18904757</v>
      </c>
      <c r="AD30" s="34">
        <v>20.534497170000002</v>
      </c>
      <c r="AE30" s="34">
        <v>63.618931625483903</v>
      </c>
      <c r="AF30" s="34">
        <v>69.026716918961299</v>
      </c>
      <c r="AG30" s="39">
        <v>0.12753781185601701</v>
      </c>
      <c r="AH30" s="40">
        <v>1.10576070566871E-2</v>
      </c>
      <c r="AI30" s="3">
        <v>0.80439885601786854</v>
      </c>
      <c r="AJ30" s="38">
        <v>0.22506359068589823</v>
      </c>
      <c r="AK30" s="41">
        <v>118.4198971</v>
      </c>
      <c r="AL30" s="42">
        <v>8.9113201879999995</v>
      </c>
      <c r="AM30" s="2">
        <v>383.5</v>
      </c>
      <c r="AN30" s="2">
        <v>4.5</v>
      </c>
      <c r="AO30" s="41">
        <v>226.11375613097849</v>
      </c>
      <c r="AP30" s="42">
        <v>0.14304932121692104</v>
      </c>
      <c r="AQ30" s="27">
        <v>3.6850000000000001</v>
      </c>
      <c r="AR30" s="43">
        <v>2.4999999999999911E-2</v>
      </c>
      <c r="AS30" s="44">
        <v>75.5</v>
      </c>
      <c r="AT30" s="42">
        <v>4.5</v>
      </c>
    </row>
    <row r="31" spans="1:46">
      <c r="A31" s="30">
        <v>27</v>
      </c>
      <c r="B31" s="185"/>
      <c r="C31" s="30">
        <v>260</v>
      </c>
      <c r="D31" s="31">
        <v>500</v>
      </c>
      <c r="E31" s="31">
        <v>0.06</v>
      </c>
      <c r="F31" s="32">
        <v>0.1</v>
      </c>
      <c r="G31" s="33">
        <v>0.52</v>
      </c>
      <c r="H31" s="34">
        <v>86.666666666666671</v>
      </c>
      <c r="I31" s="34">
        <v>11.627553482998906</v>
      </c>
      <c r="J31" s="35">
        <v>130</v>
      </c>
      <c r="K31" s="36">
        <v>15.746718927485125</v>
      </c>
      <c r="L31" s="27">
        <v>1.35189079048799</v>
      </c>
      <c r="M31" s="27">
        <v>19.311793288582912</v>
      </c>
      <c r="N31" s="37">
        <v>1.6753012218321177</v>
      </c>
      <c r="O31" s="52">
        <v>9.2956474292246511</v>
      </c>
      <c r="P31" s="52">
        <v>7.344651305513743</v>
      </c>
      <c r="Q31" s="52">
        <v>10.5736866404047</v>
      </c>
      <c r="R31" s="52">
        <v>0.70109639707393689</v>
      </c>
      <c r="S31" s="52">
        <v>0.29879395878718734</v>
      </c>
      <c r="T31" s="52">
        <v>0.52735780579945635</v>
      </c>
      <c r="U31" s="52">
        <v>0.79712839957957959</v>
      </c>
      <c r="V31" s="52">
        <v>0.9197440767629993</v>
      </c>
      <c r="W31" s="53">
        <v>0.23699815393387524</v>
      </c>
      <c r="X31" s="65">
        <v>0.94164000000000003</v>
      </c>
      <c r="Y31" s="65">
        <v>0.59038999999999997</v>
      </c>
      <c r="Z31" s="33">
        <v>0.84758588700000004</v>
      </c>
      <c r="AA31" s="27">
        <v>0.84974797300000005</v>
      </c>
      <c r="AB31" s="49">
        <v>6.9350095E-2</v>
      </c>
      <c r="AC31" s="34">
        <v>61.489647320000003</v>
      </c>
      <c r="AD31" s="34">
        <v>21.144890870000001</v>
      </c>
      <c r="AE31" s="34">
        <v>68.586919939512001</v>
      </c>
      <c r="AF31" s="34">
        <v>71.616613202647301</v>
      </c>
      <c r="AG31" s="39">
        <v>0.244394358442764</v>
      </c>
      <c r="AH31" s="40">
        <v>1.76832755599678E-2</v>
      </c>
      <c r="AI31" s="3">
        <v>1.1277776228845462</v>
      </c>
      <c r="AJ31" s="38">
        <v>0.22425928569537626</v>
      </c>
      <c r="AK31" s="41">
        <v>106.1351446</v>
      </c>
      <c r="AL31" s="42">
        <v>3.2356790210000002</v>
      </c>
      <c r="AM31" s="2">
        <v>381</v>
      </c>
      <c r="AN31" s="2">
        <v>0</v>
      </c>
      <c r="AO31" s="41">
        <v>226.22263185619735</v>
      </c>
      <c r="AP31" s="42">
        <v>7.3020478503167396E-3</v>
      </c>
      <c r="AQ31" s="27">
        <v>3.605</v>
      </c>
      <c r="AR31" s="43">
        <v>9.5000000000000195E-2</v>
      </c>
      <c r="AS31" s="44">
        <v>73</v>
      </c>
      <c r="AT31" s="42">
        <v>1</v>
      </c>
    </row>
    <row r="32" spans="1:46">
      <c r="A32" s="30">
        <v>28</v>
      </c>
      <c r="B32" s="185"/>
      <c r="C32" s="30">
        <v>360</v>
      </c>
      <c r="D32" s="31">
        <v>500</v>
      </c>
      <c r="E32" s="31">
        <v>0.06</v>
      </c>
      <c r="F32" s="32">
        <v>0.1</v>
      </c>
      <c r="G32" s="33">
        <v>0.72</v>
      </c>
      <c r="H32" s="34">
        <v>120</v>
      </c>
      <c r="I32" s="34">
        <v>16.099689437998485</v>
      </c>
      <c r="J32" s="35">
        <v>180</v>
      </c>
      <c r="K32" s="36">
        <v>15.981483545438588</v>
      </c>
      <c r="L32" s="27">
        <v>2.4930088655978544</v>
      </c>
      <c r="M32" s="27">
        <v>20.138091625502824</v>
      </c>
      <c r="N32" s="37">
        <v>3.067929298582218</v>
      </c>
      <c r="O32" s="52">
        <v>10.545756736975854</v>
      </c>
      <c r="P32" s="52">
        <v>7.7557776932439886</v>
      </c>
      <c r="Q32" s="52">
        <v>11.053631874413785</v>
      </c>
      <c r="R32" s="52">
        <v>0.72196537319974508</v>
      </c>
      <c r="S32" s="52">
        <v>0.31990799600602993</v>
      </c>
      <c r="T32" s="52">
        <v>0.48954555318069853</v>
      </c>
      <c r="U32" s="52">
        <v>0.72562500082711823</v>
      </c>
      <c r="V32" s="52">
        <v>0.9126292150372538</v>
      </c>
      <c r="W32" s="53">
        <v>0.33080942413710457</v>
      </c>
      <c r="X32" s="65">
        <v>1.0665</v>
      </c>
      <c r="Y32" s="65">
        <v>0.72540000000000004</v>
      </c>
      <c r="Z32" s="33">
        <v>0.84730533699999999</v>
      </c>
      <c r="AA32" s="27">
        <v>0.86256848900000005</v>
      </c>
      <c r="AB32" s="49">
        <v>7.5230173999999997E-2</v>
      </c>
      <c r="AC32" s="34">
        <v>60.289761660000003</v>
      </c>
      <c r="AD32" s="34">
        <v>21.693733269999999</v>
      </c>
      <c r="AE32" s="34">
        <v>67.928729175176301</v>
      </c>
      <c r="AF32" s="34">
        <v>71.686363051106198</v>
      </c>
      <c r="AG32" s="39">
        <v>0.19632558695058699</v>
      </c>
      <c r="AH32" s="40">
        <v>1.31116638195842E-2</v>
      </c>
      <c r="AI32" s="3">
        <v>1.193275847051708</v>
      </c>
      <c r="AJ32" s="38">
        <v>0.20905915340932724</v>
      </c>
      <c r="AK32" s="41">
        <v>121.1234752</v>
      </c>
      <c r="AL32" s="42">
        <v>5.6191174930000001</v>
      </c>
      <c r="AM32" s="2">
        <v>380.5</v>
      </c>
      <c r="AN32" s="2">
        <v>3.5</v>
      </c>
      <c r="AO32" s="41">
        <v>227.66024534236854</v>
      </c>
      <c r="AP32" s="42">
        <v>3.2184508653123487</v>
      </c>
      <c r="AQ32" s="27">
        <v>3.3899999999999997</v>
      </c>
      <c r="AR32" s="43">
        <v>0.13000000000000012</v>
      </c>
      <c r="AS32" s="44">
        <v>75.5</v>
      </c>
      <c r="AT32" s="42">
        <v>3.5</v>
      </c>
    </row>
    <row r="33" spans="1:46">
      <c r="A33" s="30">
        <v>29</v>
      </c>
      <c r="B33" s="185"/>
      <c r="C33" s="30">
        <v>460</v>
      </c>
      <c r="D33" s="31">
        <v>500</v>
      </c>
      <c r="E33" s="31">
        <v>0.06</v>
      </c>
      <c r="F33" s="32">
        <v>0.1</v>
      </c>
      <c r="G33" s="33">
        <v>0.92</v>
      </c>
      <c r="H33" s="34">
        <v>153.33333333333334</v>
      </c>
      <c r="I33" s="34">
        <v>20.571825392998065</v>
      </c>
      <c r="J33" s="35">
        <v>230</v>
      </c>
      <c r="K33" s="36">
        <v>15.245948527016614</v>
      </c>
      <c r="L33" s="27">
        <v>1.5580793573960654</v>
      </c>
      <c r="M33" s="27">
        <v>18.872040341492713</v>
      </c>
      <c r="N33" s="37">
        <v>1.8359730827352505</v>
      </c>
      <c r="O33" s="52">
        <v>11.430090194954341</v>
      </c>
      <c r="P33" s="52">
        <v>8.4076960002516987</v>
      </c>
      <c r="Q33" s="52">
        <v>12.910849840898686</v>
      </c>
      <c r="R33" s="52">
        <v>0.67867137971071889</v>
      </c>
      <c r="S33" s="52">
        <v>0.28515184872894389</v>
      </c>
      <c r="T33" s="52">
        <v>0.47141262729810979</v>
      </c>
      <c r="U33" s="52">
        <v>0.7455930524526001</v>
      </c>
      <c r="V33" s="52">
        <v>0.92842440452032826</v>
      </c>
      <c r="W33" s="53">
        <v>0.33334617360223634</v>
      </c>
      <c r="X33" s="65">
        <v>0.97319</v>
      </c>
      <c r="Y33" s="65">
        <v>0.64322999999999997</v>
      </c>
      <c r="Z33" s="33">
        <v>0.81896232999999996</v>
      </c>
      <c r="AA33" s="27">
        <v>0.82168303300000001</v>
      </c>
      <c r="AB33" s="49">
        <v>6.7817302999999995E-2</v>
      </c>
      <c r="AC33" s="34">
        <v>54.173519370000001</v>
      </c>
      <c r="AD33" s="34">
        <v>18.735678409999998</v>
      </c>
      <c r="AE33" s="34">
        <v>60.731125863615901</v>
      </c>
      <c r="AF33" s="34">
        <v>66.462891268860204</v>
      </c>
      <c r="AG33" s="39">
        <v>0.143022850805231</v>
      </c>
      <c r="AH33" s="40">
        <v>9.8568251321147302E-3</v>
      </c>
      <c r="AI33" s="3">
        <v>1.5582373884496026</v>
      </c>
      <c r="AJ33" s="38">
        <v>0.58041335833867125</v>
      </c>
      <c r="AK33" s="41">
        <v>122.94338689999999</v>
      </c>
      <c r="AL33" s="42">
        <v>6.3715929510000002</v>
      </c>
      <c r="AM33" s="2">
        <v>388</v>
      </c>
      <c r="AN33" s="2">
        <v>5</v>
      </c>
      <c r="AO33" s="41">
        <v>239.87892029645616</v>
      </c>
      <c r="AP33" s="42">
        <v>9.4403391327308412</v>
      </c>
      <c r="AQ33" s="27">
        <v>3.5549999999999997</v>
      </c>
      <c r="AR33" s="43">
        <v>2.5000000000000133E-2</v>
      </c>
      <c r="AS33" s="44">
        <v>67.5</v>
      </c>
      <c r="AT33" s="42">
        <v>6.5</v>
      </c>
    </row>
    <row r="34" spans="1:46">
      <c r="A34" s="30">
        <v>30</v>
      </c>
      <c r="B34" s="185"/>
      <c r="C34" s="30">
        <v>110</v>
      </c>
      <c r="D34" s="31">
        <v>800</v>
      </c>
      <c r="E34" s="31">
        <v>0.06</v>
      </c>
      <c r="F34" s="32">
        <v>0.1</v>
      </c>
      <c r="G34" s="33">
        <v>0.13750000000000001</v>
      </c>
      <c r="H34" s="34">
        <v>22.916666666666664</v>
      </c>
      <c r="I34" s="34">
        <v>3.8890872965260113</v>
      </c>
      <c r="J34" s="35">
        <v>88</v>
      </c>
      <c r="K34" s="36">
        <v>15.908977139406025</v>
      </c>
      <c r="L34" s="27">
        <v>2.3659127303678376</v>
      </c>
      <c r="M34" s="27">
        <v>19.368240289029551</v>
      </c>
      <c r="N34" s="37">
        <v>3.1650755698179975</v>
      </c>
      <c r="O34" s="52">
        <v>9.9317572577720661</v>
      </c>
      <c r="P34" s="52">
        <v>7.2216799445319815</v>
      </c>
      <c r="Q34" s="52">
        <v>9.4753258506343983</v>
      </c>
      <c r="R34" s="52">
        <v>0.67804170082918958</v>
      </c>
      <c r="S34" s="52">
        <v>0.34904122806779131</v>
      </c>
      <c r="T34" s="52">
        <v>0.44812853770066591</v>
      </c>
      <c r="U34" s="52">
        <v>0.73556616875981995</v>
      </c>
      <c r="V34" s="52">
        <v>0.90768707348732669</v>
      </c>
      <c r="W34" s="53">
        <v>0.32277791282334223</v>
      </c>
      <c r="X34" s="65">
        <v>1.1321000000000001</v>
      </c>
      <c r="Y34" s="65">
        <v>0.81322000000000005</v>
      </c>
      <c r="Z34" s="33">
        <v>0.86341987899999995</v>
      </c>
      <c r="AA34" s="27">
        <v>0.89180073199999998</v>
      </c>
      <c r="AB34" s="49">
        <v>8.7604692999999997E-2</v>
      </c>
      <c r="AC34" s="34">
        <v>61.861051230000001</v>
      </c>
      <c r="AD34" s="34">
        <v>22.855957679999999</v>
      </c>
      <c r="AE34" s="34">
        <v>69.987562878053794</v>
      </c>
      <c r="AF34" s="34">
        <v>74.196241868800499</v>
      </c>
      <c r="AG34" s="39">
        <v>0.206677857386558</v>
      </c>
      <c r="AH34" s="40">
        <v>1.51875067827225E-2</v>
      </c>
      <c r="AI34" s="3">
        <v>0.93179051356716891</v>
      </c>
      <c r="AJ34" s="38">
        <v>9.6670900976196933E-2</v>
      </c>
      <c r="AK34" s="41">
        <v>119.9788022</v>
      </c>
      <c r="AL34" s="42">
        <v>5.0200545329999997</v>
      </c>
      <c r="AM34" s="2">
        <v>378.5</v>
      </c>
      <c r="AN34" s="2">
        <v>2.5</v>
      </c>
      <c r="AO34" s="41">
        <v>226.22000254186673</v>
      </c>
      <c r="AP34" s="42">
        <v>0.7454649557489148</v>
      </c>
      <c r="AQ34" s="27">
        <v>3.46</v>
      </c>
      <c r="AR34" s="43">
        <v>0.22999999999999998</v>
      </c>
      <c r="AS34" s="44">
        <v>70.5</v>
      </c>
      <c r="AT34" s="42">
        <v>0.5</v>
      </c>
    </row>
    <row r="35" spans="1:46">
      <c r="A35" s="30">
        <v>31</v>
      </c>
      <c r="B35" s="185"/>
      <c r="C35" s="30">
        <v>210</v>
      </c>
      <c r="D35" s="31">
        <v>800</v>
      </c>
      <c r="E35" s="31">
        <v>0.06</v>
      </c>
      <c r="F35" s="32">
        <v>0.1</v>
      </c>
      <c r="G35" s="33">
        <v>0.26250000000000001</v>
      </c>
      <c r="H35" s="34">
        <v>43.749999999999993</v>
      </c>
      <c r="I35" s="34">
        <v>7.4246212024587486</v>
      </c>
      <c r="J35" s="35">
        <v>168</v>
      </c>
      <c r="K35" s="36">
        <v>15.1728255214454</v>
      </c>
      <c r="L35" s="27">
        <v>2.358031282635733</v>
      </c>
      <c r="M35" s="27">
        <v>19.975152487161264</v>
      </c>
      <c r="N35" s="37">
        <v>2.3778925836800449</v>
      </c>
      <c r="O35" s="52">
        <v>12.04850044847127</v>
      </c>
      <c r="P35" s="52">
        <v>8.4515670586847236</v>
      </c>
      <c r="Q35" s="52">
        <v>12.523957061160631</v>
      </c>
      <c r="R35" s="52">
        <v>0.66423535495123953</v>
      </c>
      <c r="S35" s="52">
        <v>0.30351951983708941</v>
      </c>
      <c r="T35" s="52">
        <v>0.45308022374498208</v>
      </c>
      <c r="U35" s="52">
        <v>0.75031032867765546</v>
      </c>
      <c r="V35" s="52">
        <v>0.89932765142053706</v>
      </c>
      <c r="W35" s="53">
        <v>0.29725781779540134</v>
      </c>
      <c r="X35" s="65">
        <v>1.0223</v>
      </c>
      <c r="Y35" s="65">
        <v>0.63063999999999998</v>
      </c>
      <c r="Z35" s="33">
        <v>0.86225605599999999</v>
      </c>
      <c r="AA35" s="27">
        <v>0.87251705300000004</v>
      </c>
      <c r="AB35" s="49">
        <v>7.7319870999999998E-2</v>
      </c>
      <c r="AC35" s="34">
        <v>60.949860780000002</v>
      </c>
      <c r="AD35" s="34">
        <v>21.76267035</v>
      </c>
      <c r="AE35" s="34">
        <v>68.530742674317693</v>
      </c>
      <c r="AF35" s="34">
        <v>73.1202367595249</v>
      </c>
      <c r="AG35" s="39">
        <v>0.22391464649199899</v>
      </c>
      <c r="AH35" s="40">
        <v>1.51069951282183E-2</v>
      </c>
      <c r="AI35" s="3">
        <v>1.0282178332984453</v>
      </c>
      <c r="AJ35" s="38">
        <v>0.11033423376456088</v>
      </c>
      <c r="AK35" s="41">
        <v>119.52848609999999</v>
      </c>
      <c r="AL35" s="42">
        <v>8.7100851039999991</v>
      </c>
      <c r="AM35" s="2">
        <v>344</v>
      </c>
      <c r="AN35" s="2">
        <v>21</v>
      </c>
      <c r="AO35" s="41">
        <v>225.73580124858282</v>
      </c>
      <c r="AP35" s="42">
        <v>4.5434254736334765</v>
      </c>
      <c r="AQ35" s="27">
        <v>2.5499999999999998</v>
      </c>
      <c r="AR35" s="43">
        <v>0.37000000000000094</v>
      </c>
      <c r="AS35" s="44">
        <v>64.5</v>
      </c>
      <c r="AT35" s="42">
        <v>1.5</v>
      </c>
    </row>
    <row r="36" spans="1:46" ht="14.5" thickBot="1">
      <c r="A36" s="30">
        <v>32</v>
      </c>
      <c r="B36" s="186"/>
      <c r="C36" s="30">
        <v>210</v>
      </c>
      <c r="D36" s="31">
        <v>1350</v>
      </c>
      <c r="E36" s="31">
        <v>0.06</v>
      </c>
      <c r="F36" s="32">
        <v>0.1</v>
      </c>
      <c r="G36" s="33">
        <v>0.15555555555555556</v>
      </c>
      <c r="H36" s="34">
        <v>25.925925925925927</v>
      </c>
      <c r="I36" s="34">
        <v>5.715476066494082</v>
      </c>
      <c r="J36" s="35">
        <v>283.5</v>
      </c>
      <c r="K36" s="36">
        <v>15.144717903987862</v>
      </c>
      <c r="L36" s="27">
        <v>2.229954802183324</v>
      </c>
      <c r="M36" s="27">
        <v>19.25014986861779</v>
      </c>
      <c r="N36" s="37">
        <v>3.0143447453591872</v>
      </c>
      <c r="O36" s="52">
        <v>13.820239093979332</v>
      </c>
      <c r="P36" s="52">
        <v>11.067500829341414</v>
      </c>
      <c r="Q36" s="52">
        <v>22.07307024022219</v>
      </c>
      <c r="R36" s="52">
        <v>0.71804778091893462</v>
      </c>
      <c r="S36" s="52">
        <v>0.15389609960543804</v>
      </c>
      <c r="T36" s="52">
        <v>0.54037670933829696</v>
      </c>
      <c r="U36" s="52">
        <v>0.74548573018366249</v>
      </c>
      <c r="V36" s="52">
        <v>0.9683432070681175</v>
      </c>
      <c r="W36" s="53">
        <v>0.36244082706327602</v>
      </c>
      <c r="X36" s="65">
        <v>0.96101999999999999</v>
      </c>
      <c r="Y36" s="65">
        <v>0.63360000000000005</v>
      </c>
      <c r="Z36" s="33">
        <v>0.86621519499999999</v>
      </c>
      <c r="AA36" s="27">
        <v>0.76200580200000001</v>
      </c>
      <c r="AB36" s="49">
        <v>9.1485286999999998E-2</v>
      </c>
      <c r="AC36" s="34">
        <v>71.736731579999997</v>
      </c>
      <c r="AD36" s="34">
        <v>35.083402489999997</v>
      </c>
      <c r="AE36" s="34">
        <v>89.887572458460397</v>
      </c>
      <c r="AF36" s="34">
        <v>123.974849576255</v>
      </c>
      <c r="AG36" s="39">
        <v>0.67340377362475901</v>
      </c>
      <c r="AH36" s="40">
        <v>3.3487228807566202E-2</v>
      </c>
      <c r="AI36" s="3">
        <v>1.490445830219979</v>
      </c>
      <c r="AJ36" s="38">
        <v>0.20046913773098859</v>
      </c>
      <c r="AK36" s="41">
        <v>123.7454975</v>
      </c>
      <c r="AL36" s="42">
        <v>8.2546127410000008</v>
      </c>
      <c r="AM36" s="2">
        <v>257.5</v>
      </c>
      <c r="AN36" s="2">
        <v>77.5</v>
      </c>
      <c r="AO36" s="41">
        <v>195.63406588885303</v>
      </c>
      <c r="AP36" s="42">
        <v>41.204528187798161</v>
      </c>
      <c r="AQ36" s="27">
        <v>1.345</v>
      </c>
      <c r="AR36" s="43">
        <v>0.67500000000000016</v>
      </c>
      <c r="AS36" s="44">
        <v>67</v>
      </c>
      <c r="AT36" s="42">
        <v>2</v>
      </c>
    </row>
    <row r="37" spans="1:46">
      <c r="A37" s="148">
        <v>33</v>
      </c>
      <c r="B37" s="187" t="s">
        <v>40</v>
      </c>
      <c r="C37" s="148">
        <v>60</v>
      </c>
      <c r="D37" s="149">
        <v>250</v>
      </c>
      <c r="E37" s="149">
        <v>0.06</v>
      </c>
      <c r="F37" s="150">
        <v>0.15</v>
      </c>
      <c r="G37" s="151">
        <f t="shared" ref="G37:G64" si="0">C37/D37</f>
        <v>0.24</v>
      </c>
      <c r="H37" s="152">
        <f t="shared" ref="H37:H64" si="1">C37/(D37*E37*F37)</f>
        <v>26.666666666666668</v>
      </c>
      <c r="I37" s="152">
        <f t="shared" ref="I37:I64" si="2">C37/SQRT(D37)</f>
        <v>3.7947331922020551</v>
      </c>
      <c r="J37" s="153">
        <f t="shared" ref="J37:J64" si="3">C37*D37/1000</f>
        <v>15</v>
      </c>
      <c r="K37" s="154">
        <v>13.64965130968119</v>
      </c>
      <c r="L37" s="155">
        <v>2.6777163482194637</v>
      </c>
      <c r="M37" s="155">
        <v>17.565046173181862</v>
      </c>
      <c r="N37" s="156">
        <v>2.1650289219404266</v>
      </c>
      <c r="O37" s="157"/>
      <c r="P37" s="157"/>
      <c r="Q37" s="157"/>
      <c r="R37" s="158"/>
      <c r="S37" s="158"/>
      <c r="T37" s="158"/>
      <c r="U37" s="157"/>
      <c r="V37" s="157"/>
      <c r="W37" s="159"/>
      <c r="X37" s="157"/>
      <c r="Y37" s="157"/>
      <c r="Z37" s="151">
        <v>0.85482919099999999</v>
      </c>
      <c r="AA37" s="155">
        <v>0.373432178</v>
      </c>
      <c r="AB37" s="160">
        <v>7.1155872999999994E-2</v>
      </c>
      <c r="AC37" s="152">
        <v>58.615180379999998</v>
      </c>
      <c r="AD37" s="152">
        <v>86.478368660000001</v>
      </c>
      <c r="AE37" s="152">
        <v>309.36870960060799</v>
      </c>
      <c r="AF37" s="152">
        <v>1114.6069046175701</v>
      </c>
      <c r="AG37" s="161">
        <v>14.4273745145821</v>
      </c>
      <c r="AH37" s="162">
        <v>0.40633669222091501</v>
      </c>
      <c r="AI37" s="158">
        <v>16.425804137142887</v>
      </c>
      <c r="AJ37" s="157">
        <v>0.33732569466741619</v>
      </c>
      <c r="AK37" s="163">
        <v>121.1603302</v>
      </c>
      <c r="AL37" s="164">
        <v>8.2109754339999999</v>
      </c>
      <c r="AM37" s="165">
        <v>183.5</v>
      </c>
      <c r="AN37" s="165">
        <v>21.5</v>
      </c>
      <c r="AO37" s="163">
        <v>149.5453010249982</v>
      </c>
      <c r="AP37" s="164">
        <v>13.856907753364609</v>
      </c>
      <c r="AQ37" s="166">
        <v>0.86499999999999999</v>
      </c>
      <c r="AR37" s="167">
        <v>8.4999999999999964E-2</v>
      </c>
      <c r="AS37" s="168">
        <v>55.257748994832752</v>
      </c>
      <c r="AT37" s="164">
        <v>4.9512510051672507</v>
      </c>
    </row>
    <row r="38" spans="1:46" ht="15.5" customHeight="1">
      <c r="A38" s="98">
        <v>34</v>
      </c>
      <c r="B38" s="188"/>
      <c r="C38" s="98">
        <v>160</v>
      </c>
      <c r="D38" s="169">
        <v>250</v>
      </c>
      <c r="E38" s="169">
        <v>0.06</v>
      </c>
      <c r="F38" s="99">
        <v>0.15</v>
      </c>
      <c r="G38" s="100">
        <f t="shared" si="0"/>
        <v>0.64</v>
      </c>
      <c r="H38" s="170">
        <f t="shared" si="1"/>
        <v>71.111111111111114</v>
      </c>
      <c r="I38" s="170">
        <f t="shared" si="2"/>
        <v>10.119288512538814</v>
      </c>
      <c r="J38" s="101">
        <f t="shared" si="3"/>
        <v>40</v>
      </c>
      <c r="K38" s="102">
        <v>14.011649914902375</v>
      </c>
      <c r="L38" s="171">
        <v>2.0346697029734835</v>
      </c>
      <c r="M38" s="171">
        <v>17.286317611935988</v>
      </c>
      <c r="N38" s="103">
        <v>3.2598767021282562</v>
      </c>
      <c r="O38" s="172"/>
      <c r="P38" s="172"/>
      <c r="Q38" s="172"/>
      <c r="R38" s="173"/>
      <c r="S38" s="173"/>
      <c r="T38" s="173"/>
      <c r="U38" s="172"/>
      <c r="V38" s="172"/>
      <c r="W38" s="104"/>
      <c r="X38" s="172"/>
      <c r="Y38" s="172"/>
      <c r="Z38" s="100">
        <v>0.874165462</v>
      </c>
      <c r="AA38" s="171">
        <v>0.83599716800000001</v>
      </c>
      <c r="AB38" s="105">
        <v>8.4741015000000003E-2</v>
      </c>
      <c r="AC38" s="170">
        <v>68.986642079999996</v>
      </c>
      <c r="AD38" s="170">
        <v>29.60487324</v>
      </c>
      <c r="AE38" s="170">
        <v>82.1028029435669</v>
      </c>
      <c r="AF38" s="170">
        <v>105.59724038937701</v>
      </c>
      <c r="AG38" s="106">
        <v>0.40511735917703801</v>
      </c>
      <c r="AH38" s="107">
        <v>2.4622057944283699E-2</v>
      </c>
      <c r="AI38" s="173">
        <v>1.1606755565506168</v>
      </c>
      <c r="AJ38" s="172">
        <v>0.22657047554811816</v>
      </c>
      <c r="AK38" s="108">
        <v>114.41249670000001</v>
      </c>
      <c r="AL38" s="46">
        <v>7.8315470559999998</v>
      </c>
      <c r="AM38" s="174">
        <v>285.33333333333331</v>
      </c>
      <c r="AN38" s="174">
        <v>40.499657063019953</v>
      </c>
      <c r="AO38" s="108">
        <v>202.6126212514209</v>
      </c>
      <c r="AP38" s="109">
        <v>14.407336153523667</v>
      </c>
      <c r="AQ38" s="110">
        <v>1.9833333333333334</v>
      </c>
      <c r="AR38" s="111">
        <v>0.6966746411026844</v>
      </c>
      <c r="AS38" s="175">
        <v>62.447333333333326</v>
      </c>
      <c r="AT38" s="109">
        <v>8.4176133329003981</v>
      </c>
    </row>
    <row r="39" spans="1:46" ht="15.5" customHeight="1">
      <c r="A39" s="98">
        <v>35</v>
      </c>
      <c r="B39" s="188"/>
      <c r="C39" s="98">
        <v>160</v>
      </c>
      <c r="D39" s="169">
        <v>800</v>
      </c>
      <c r="E39" s="169">
        <v>0.06</v>
      </c>
      <c r="F39" s="99">
        <v>0.15</v>
      </c>
      <c r="G39" s="100">
        <f t="shared" si="0"/>
        <v>0.2</v>
      </c>
      <c r="H39" s="170">
        <f t="shared" si="1"/>
        <v>22.222222222222225</v>
      </c>
      <c r="I39" s="170">
        <f t="shared" si="2"/>
        <v>5.6568542494923797</v>
      </c>
      <c r="J39" s="101">
        <f t="shared" si="3"/>
        <v>128</v>
      </c>
      <c r="K39" s="102">
        <v>13.831347882385927</v>
      </c>
      <c r="L39" s="171">
        <v>1.7004214731944534</v>
      </c>
      <c r="M39" s="171">
        <v>17.609346509478588</v>
      </c>
      <c r="N39" s="103">
        <v>1.9912093040958265</v>
      </c>
      <c r="O39" s="172"/>
      <c r="P39" s="172"/>
      <c r="Q39" s="172"/>
      <c r="R39" s="173"/>
      <c r="S39" s="173"/>
      <c r="T39" s="173"/>
      <c r="U39" s="172"/>
      <c r="V39" s="172"/>
      <c r="W39" s="104"/>
      <c r="X39" s="172"/>
      <c r="Y39" s="172"/>
      <c r="Z39" s="100">
        <v>0.82559292900000003</v>
      </c>
      <c r="AA39" s="171">
        <v>0.42020867699999997</v>
      </c>
      <c r="AB39" s="105">
        <v>0.137243114</v>
      </c>
      <c r="AC39" s="170">
        <v>95.029688399999998</v>
      </c>
      <c r="AD39" s="170">
        <v>88.225204869999999</v>
      </c>
      <c r="AE39" s="170">
        <v>174.558281848473</v>
      </c>
      <c r="AF39" s="170">
        <v>299.879917233274</v>
      </c>
      <c r="AG39" s="106">
        <v>5.4561347111937897</v>
      </c>
      <c r="AH39" s="107">
        <v>0.16136675626126801</v>
      </c>
      <c r="AI39" s="173">
        <v>3.5562957185319655</v>
      </c>
      <c r="AJ39" s="172">
        <v>0.23701258979093973</v>
      </c>
      <c r="AK39" s="108">
        <v>122.4861229</v>
      </c>
      <c r="AL39" s="109">
        <v>6.9394160549999997</v>
      </c>
      <c r="AM39" s="174">
        <v>252.33333333333334</v>
      </c>
      <c r="AN39" s="174">
        <v>3.7712361663282534</v>
      </c>
      <c r="AO39" s="108">
        <v>180.54776874376125</v>
      </c>
      <c r="AP39" s="109">
        <v>18.804671243604428</v>
      </c>
      <c r="AQ39" s="110">
        <v>2.3766666666666665</v>
      </c>
      <c r="AR39" s="111">
        <v>1.4202425457959247</v>
      </c>
      <c r="AS39" s="175">
        <v>60</v>
      </c>
      <c r="AT39" s="109">
        <v>5.715476066494082</v>
      </c>
    </row>
    <row r="40" spans="1:46" ht="15.5" customHeight="1">
      <c r="A40" s="98">
        <v>36</v>
      </c>
      <c r="B40" s="188"/>
      <c r="C40" s="98">
        <v>260</v>
      </c>
      <c r="D40" s="169">
        <v>250</v>
      </c>
      <c r="E40" s="169">
        <v>0.06</v>
      </c>
      <c r="F40" s="99">
        <v>0.15</v>
      </c>
      <c r="G40" s="100">
        <f t="shared" si="0"/>
        <v>1.04</v>
      </c>
      <c r="H40" s="170">
        <f t="shared" si="1"/>
        <v>115.55555555555556</v>
      </c>
      <c r="I40" s="170">
        <f t="shared" si="2"/>
        <v>16.443843832875572</v>
      </c>
      <c r="J40" s="101">
        <f t="shared" si="3"/>
        <v>65</v>
      </c>
      <c r="K40" s="102">
        <v>14.57381308050296</v>
      </c>
      <c r="L40" s="171">
        <v>3.4534848670066651</v>
      </c>
      <c r="M40" s="171">
        <v>18.475069546498702</v>
      </c>
      <c r="N40" s="103">
        <v>3.4743441114489353</v>
      </c>
      <c r="O40" s="172"/>
      <c r="P40" s="172"/>
      <c r="Q40" s="172"/>
      <c r="R40" s="173"/>
      <c r="S40" s="173"/>
      <c r="T40" s="173"/>
      <c r="U40" s="172"/>
      <c r="V40" s="172"/>
      <c r="W40" s="104"/>
      <c r="X40" s="172"/>
      <c r="Y40" s="172"/>
      <c r="Z40" s="100">
        <v>0.91109219900000005</v>
      </c>
      <c r="AA40" s="171">
        <v>0.89193651500000004</v>
      </c>
      <c r="AB40" s="105">
        <v>8.5653723000000001E-2</v>
      </c>
      <c r="AC40" s="170">
        <v>145.82254990000001</v>
      </c>
      <c r="AD40" s="170">
        <v>66.746085460000003</v>
      </c>
      <c r="AE40" s="170">
        <v>172.766091500508</v>
      </c>
      <c r="AF40" s="170">
        <v>184.88322904360001</v>
      </c>
      <c r="AG40" s="106">
        <v>8.0004915995817303</v>
      </c>
      <c r="AH40" s="107">
        <v>0.15411127091913701</v>
      </c>
      <c r="AI40" s="173">
        <v>6.0473488900528896</v>
      </c>
      <c r="AJ40" s="172">
        <v>0.15751644143337362</v>
      </c>
      <c r="AK40" s="108">
        <v>84.988199219999998</v>
      </c>
      <c r="AL40" s="109">
        <v>12.948673339999999</v>
      </c>
      <c r="AM40" s="174">
        <v>297.33333333333331</v>
      </c>
      <c r="AN40" s="174">
        <v>48.992062849223061</v>
      </c>
      <c r="AO40" s="108">
        <v>161.11767259829907</v>
      </c>
      <c r="AP40" s="109">
        <v>18.430419246773621</v>
      </c>
      <c r="AQ40" s="110">
        <v>4.0066666666666668</v>
      </c>
      <c r="AR40" s="111">
        <v>0.75411463908936682</v>
      </c>
      <c r="AS40" s="175">
        <v>57.666666666666664</v>
      </c>
      <c r="AT40" s="109">
        <v>9.0308114560960444</v>
      </c>
    </row>
    <row r="41" spans="1:46" ht="15.5" customHeight="1">
      <c r="A41" s="98">
        <v>37</v>
      </c>
      <c r="B41" s="188"/>
      <c r="C41" s="98">
        <v>260</v>
      </c>
      <c r="D41" s="169">
        <v>800</v>
      </c>
      <c r="E41" s="169">
        <v>0.06</v>
      </c>
      <c r="F41" s="99">
        <v>0.15</v>
      </c>
      <c r="G41" s="100">
        <f t="shared" si="0"/>
        <v>0.32500000000000001</v>
      </c>
      <c r="H41" s="170">
        <f t="shared" si="1"/>
        <v>36.111111111111114</v>
      </c>
      <c r="I41" s="170">
        <f t="shared" si="2"/>
        <v>9.1923881554251174</v>
      </c>
      <c r="J41" s="101">
        <f t="shared" si="3"/>
        <v>208</v>
      </c>
      <c r="K41" s="102">
        <v>14.424905311947162</v>
      </c>
      <c r="L41" s="171">
        <v>1.9065684923770365</v>
      </c>
      <c r="M41" s="171">
        <v>17.794698334093276</v>
      </c>
      <c r="N41" s="103">
        <v>2.7678159440953762</v>
      </c>
      <c r="O41" s="172"/>
      <c r="P41" s="172"/>
      <c r="Q41" s="172"/>
      <c r="R41" s="173"/>
      <c r="S41" s="173"/>
      <c r="T41" s="173"/>
      <c r="U41" s="172"/>
      <c r="V41" s="172"/>
      <c r="W41" s="104"/>
      <c r="X41" s="172"/>
      <c r="Y41" s="172"/>
      <c r="Z41" s="100">
        <v>0.88688900100000001</v>
      </c>
      <c r="AA41" s="171">
        <v>0.91021248300000002</v>
      </c>
      <c r="AB41" s="105">
        <v>8.4887647999999996E-2</v>
      </c>
      <c r="AC41" s="170">
        <v>62.86262103</v>
      </c>
      <c r="AD41" s="170">
        <v>22.005542569999999</v>
      </c>
      <c r="AE41" s="170">
        <v>70.336111640733606</v>
      </c>
      <c r="AF41" s="170">
        <v>73.805888955826205</v>
      </c>
      <c r="AG41" s="106">
        <v>0.31394542150444399</v>
      </c>
      <c r="AH41" s="107">
        <v>2.19731504707882E-2</v>
      </c>
      <c r="AI41" s="173">
        <v>1.3992360619656607</v>
      </c>
      <c r="AJ41" s="172">
        <v>0.39147484356150536</v>
      </c>
      <c r="AK41" s="108">
        <v>108.5021898</v>
      </c>
      <c r="AL41" s="109">
        <v>5.9957691449999997</v>
      </c>
      <c r="AM41" s="174">
        <v>327.66666666666669</v>
      </c>
      <c r="AN41" s="174">
        <v>35.226252836327753</v>
      </c>
      <c r="AO41" s="108">
        <v>215.78780597440621</v>
      </c>
      <c r="AP41" s="109">
        <v>10.44632919844846</v>
      </c>
      <c r="AQ41" s="110">
        <v>2.793333333333333</v>
      </c>
      <c r="AR41" s="111">
        <v>0.7078763231588483</v>
      </c>
      <c r="AS41" s="175">
        <v>65</v>
      </c>
      <c r="AT41" s="109">
        <v>5.6568542494923806</v>
      </c>
    </row>
    <row r="42" spans="1:46" ht="15.5" customHeight="1">
      <c r="A42" s="98">
        <v>38</v>
      </c>
      <c r="B42" s="188"/>
      <c r="C42" s="98">
        <v>260</v>
      </c>
      <c r="D42" s="169">
        <v>1350</v>
      </c>
      <c r="E42" s="169">
        <v>0.06</v>
      </c>
      <c r="F42" s="99">
        <v>0.15</v>
      </c>
      <c r="G42" s="100">
        <f t="shared" si="0"/>
        <v>0.19259259259259259</v>
      </c>
      <c r="H42" s="170">
        <f t="shared" si="1"/>
        <v>21.399176954732511</v>
      </c>
      <c r="I42" s="170">
        <f t="shared" si="2"/>
        <v>7.0763037013736252</v>
      </c>
      <c r="J42" s="101">
        <f t="shared" si="3"/>
        <v>351</v>
      </c>
      <c r="K42" s="102">
        <v>14.1147607560672</v>
      </c>
      <c r="L42" s="171">
        <v>1.693119018840417</v>
      </c>
      <c r="M42" s="171">
        <v>17.487837271243851</v>
      </c>
      <c r="N42" s="103">
        <v>1.4649691770631703</v>
      </c>
      <c r="O42" s="172"/>
      <c r="P42" s="172"/>
      <c r="Q42" s="172"/>
      <c r="R42" s="173"/>
      <c r="S42" s="173"/>
      <c r="T42" s="173"/>
      <c r="U42" s="172"/>
      <c r="V42" s="172"/>
      <c r="W42" s="104"/>
      <c r="X42" s="172"/>
      <c r="Y42" s="172"/>
      <c r="Z42" s="100">
        <v>0.82517656500000003</v>
      </c>
      <c r="AA42" s="171">
        <v>0.55044422800000004</v>
      </c>
      <c r="AB42" s="105">
        <v>0.116738143</v>
      </c>
      <c r="AC42" s="170">
        <v>84.523397259999996</v>
      </c>
      <c r="AD42" s="170">
        <v>66.566951029999998</v>
      </c>
      <c r="AE42" s="170">
        <v>136.110891397035</v>
      </c>
      <c r="AF42" s="170">
        <v>208.51371124066301</v>
      </c>
      <c r="AG42" s="106">
        <v>1.9600337314626299</v>
      </c>
      <c r="AH42" s="107">
        <v>7.2966626531302606E-2</v>
      </c>
      <c r="AI42" s="173">
        <v>2.0840171041635864</v>
      </c>
      <c r="AJ42" s="172">
        <v>0.43378932776218221</v>
      </c>
      <c r="AK42" s="108">
        <v>114.5028023</v>
      </c>
      <c r="AL42" s="109">
        <v>7.8806498129999998</v>
      </c>
      <c r="AM42" s="174">
        <v>297.66666666666669</v>
      </c>
      <c r="AN42" s="174">
        <v>32.714251057027461</v>
      </c>
      <c r="AO42" s="108">
        <v>200.74552642917592</v>
      </c>
      <c r="AP42" s="109">
        <v>26.723466953508769</v>
      </c>
      <c r="AQ42" s="110">
        <v>2.8166666666666664</v>
      </c>
      <c r="AR42" s="111">
        <v>0.69562122515697389</v>
      </c>
      <c r="AS42" s="175">
        <v>58.333333333333336</v>
      </c>
      <c r="AT42" s="109">
        <v>6.2360956446232354</v>
      </c>
    </row>
    <row r="43" spans="1:46" ht="15.5" customHeight="1">
      <c r="A43" s="98">
        <v>39</v>
      </c>
      <c r="B43" s="188"/>
      <c r="C43" s="98">
        <v>360</v>
      </c>
      <c r="D43" s="169">
        <v>250</v>
      </c>
      <c r="E43" s="169">
        <v>0.06</v>
      </c>
      <c r="F43" s="99">
        <v>0.15</v>
      </c>
      <c r="G43" s="100">
        <f t="shared" si="0"/>
        <v>1.44</v>
      </c>
      <c r="H43" s="170">
        <f t="shared" si="1"/>
        <v>160</v>
      </c>
      <c r="I43" s="170">
        <f t="shared" si="2"/>
        <v>22.768399153212332</v>
      </c>
      <c r="J43" s="101">
        <f t="shared" si="3"/>
        <v>90</v>
      </c>
      <c r="K43" s="102">
        <v>11.683574191315078</v>
      </c>
      <c r="L43" s="171">
        <v>1.840031374573506</v>
      </c>
      <c r="M43" s="171">
        <v>14.627938296219263</v>
      </c>
      <c r="N43" s="103">
        <v>2.3059722617476979</v>
      </c>
      <c r="O43" s="172"/>
      <c r="P43" s="172"/>
      <c r="Q43" s="172"/>
      <c r="R43" s="173"/>
      <c r="S43" s="173"/>
      <c r="T43" s="173"/>
      <c r="U43" s="172"/>
      <c r="V43" s="172"/>
      <c r="W43" s="104"/>
      <c r="X43" s="172"/>
      <c r="Y43" s="172"/>
      <c r="Z43" s="100">
        <v>0.88474573499999998</v>
      </c>
      <c r="AA43" s="171">
        <v>0.88046190199999996</v>
      </c>
      <c r="AB43" s="105">
        <v>0.101115759</v>
      </c>
      <c r="AC43" s="170">
        <v>139.0635331</v>
      </c>
      <c r="AD43" s="170">
        <v>76.218638229999996</v>
      </c>
      <c r="AE43" s="170">
        <v>175.278309616678</v>
      </c>
      <c r="AF43" s="170">
        <v>200.462729736889</v>
      </c>
      <c r="AG43" s="106">
        <v>6.8676326743852796</v>
      </c>
      <c r="AH43" s="107">
        <v>0.132408893713509</v>
      </c>
      <c r="AI43" s="173">
        <v>5.2692570089503823</v>
      </c>
      <c r="AJ43" s="172">
        <v>0.36177847168436272</v>
      </c>
      <c r="AK43" s="108">
        <v>78.434561860000002</v>
      </c>
      <c r="AL43" s="109">
        <v>14.870810430000001</v>
      </c>
      <c r="AM43" s="174">
        <v>255.66666666666666</v>
      </c>
      <c r="AN43" s="174">
        <v>14.704496666741854</v>
      </c>
      <c r="AO43" s="108">
        <v>164.00357575828352</v>
      </c>
      <c r="AP43" s="109">
        <v>16.491767714231063</v>
      </c>
      <c r="AQ43" s="110">
        <v>3.956666666666667</v>
      </c>
      <c r="AR43" s="111">
        <v>1.1321169943468237</v>
      </c>
      <c r="AS43" s="175">
        <v>58.666666666666664</v>
      </c>
      <c r="AT43" s="109">
        <v>6.8475461947247123</v>
      </c>
    </row>
    <row r="44" spans="1:46" ht="15.5" customHeight="1">
      <c r="A44" s="98">
        <v>40</v>
      </c>
      <c r="B44" s="188"/>
      <c r="C44" s="98">
        <v>360</v>
      </c>
      <c r="D44" s="169">
        <v>800</v>
      </c>
      <c r="E44" s="169">
        <v>0.06</v>
      </c>
      <c r="F44" s="99">
        <v>0.15</v>
      </c>
      <c r="G44" s="100">
        <f t="shared" si="0"/>
        <v>0.45</v>
      </c>
      <c r="H44" s="170">
        <f t="shared" si="1"/>
        <v>50.000000000000007</v>
      </c>
      <c r="I44" s="170">
        <f t="shared" si="2"/>
        <v>12.727922061357855</v>
      </c>
      <c r="J44" s="101">
        <f t="shared" si="3"/>
        <v>288</v>
      </c>
      <c r="K44" s="102">
        <v>18.939884617579875</v>
      </c>
      <c r="L44" s="171">
        <v>5.3872326587485375</v>
      </c>
      <c r="M44" s="171">
        <v>24.056542669524237</v>
      </c>
      <c r="N44" s="103">
        <v>7.0300984028574698</v>
      </c>
      <c r="O44" s="172"/>
      <c r="P44" s="172"/>
      <c r="Q44" s="172"/>
      <c r="R44" s="173"/>
      <c r="S44" s="173"/>
      <c r="T44" s="173"/>
      <c r="U44" s="172"/>
      <c r="V44" s="172"/>
      <c r="W44" s="104"/>
      <c r="X44" s="172"/>
      <c r="Y44" s="172"/>
      <c r="Z44" s="100">
        <v>0.92063912400000003</v>
      </c>
      <c r="AA44" s="171">
        <v>0.91241674100000003</v>
      </c>
      <c r="AB44" s="105">
        <v>8.5422813E-2</v>
      </c>
      <c r="AC44" s="170">
        <v>95.091021179999998</v>
      </c>
      <c r="AD44" s="170">
        <v>35.199523599999999</v>
      </c>
      <c r="AE44" s="170">
        <v>107.59658795537401</v>
      </c>
      <c r="AF44" s="170">
        <v>115.12113725805401</v>
      </c>
      <c r="AG44" s="106">
        <v>4.9747157856967101</v>
      </c>
      <c r="AH44" s="107">
        <v>0.189394972231306</v>
      </c>
      <c r="AI44" s="173">
        <v>4.4465166411975865</v>
      </c>
      <c r="AJ44" s="172">
        <v>0.10595321992953224</v>
      </c>
      <c r="AK44" s="108">
        <v>105.5643942</v>
      </c>
      <c r="AL44" s="109">
        <v>5.229994628</v>
      </c>
      <c r="AM44" s="174">
        <v>317.33333333333331</v>
      </c>
      <c r="AN44" s="174">
        <v>39.228674319799403</v>
      </c>
      <c r="AO44" s="108">
        <v>201.82296340315906</v>
      </c>
      <c r="AP44" s="109">
        <v>23.360298586015819</v>
      </c>
      <c r="AQ44" s="110">
        <v>3.1</v>
      </c>
      <c r="AR44" s="111">
        <v>0.2631856125753585</v>
      </c>
      <c r="AS44" s="175">
        <v>56.666666666666664</v>
      </c>
      <c r="AT44" s="109">
        <v>0.47140452079103168</v>
      </c>
    </row>
    <row r="45" spans="1:46" ht="15.5" customHeight="1">
      <c r="A45" s="98">
        <v>41</v>
      </c>
      <c r="B45" s="188"/>
      <c r="C45" s="98">
        <v>360</v>
      </c>
      <c r="D45" s="169">
        <v>1350</v>
      </c>
      <c r="E45" s="169">
        <v>0.06</v>
      </c>
      <c r="F45" s="99">
        <v>0.15</v>
      </c>
      <c r="G45" s="100">
        <f t="shared" si="0"/>
        <v>0.26666666666666666</v>
      </c>
      <c r="H45" s="170">
        <f t="shared" si="1"/>
        <v>29.62962962962963</v>
      </c>
      <c r="I45" s="170">
        <f t="shared" si="2"/>
        <v>9.7979589711327115</v>
      </c>
      <c r="J45" s="101">
        <f t="shared" si="3"/>
        <v>486</v>
      </c>
      <c r="K45" s="102">
        <v>14.023799441383201</v>
      </c>
      <c r="L45" s="171">
        <v>1.1799583465418484</v>
      </c>
      <c r="M45" s="171">
        <v>17.027652704930798</v>
      </c>
      <c r="N45" s="103">
        <v>1.9794577620941312</v>
      </c>
      <c r="O45" s="172"/>
      <c r="P45" s="172"/>
      <c r="Q45" s="172"/>
      <c r="R45" s="173"/>
      <c r="S45" s="173"/>
      <c r="T45" s="173"/>
      <c r="U45" s="172"/>
      <c r="V45" s="172"/>
      <c r="W45" s="104"/>
      <c r="X45" s="172"/>
      <c r="Y45" s="172"/>
      <c r="Z45" s="100">
        <v>0.84177707999999996</v>
      </c>
      <c r="AA45" s="171">
        <v>0.85296539599999999</v>
      </c>
      <c r="AB45" s="105">
        <v>7.8959522000000004E-2</v>
      </c>
      <c r="AC45" s="170">
        <v>57.434915240000002</v>
      </c>
      <c r="AD45" s="170">
        <v>20.272780820000001</v>
      </c>
      <c r="AE45" s="170">
        <v>64.501473119285805</v>
      </c>
      <c r="AF45" s="170">
        <v>68.596084685283103</v>
      </c>
      <c r="AG45" s="106">
        <v>0.17838353704979801</v>
      </c>
      <c r="AH45" s="107">
        <v>1.3714015228088201E-2</v>
      </c>
      <c r="AI45" s="173">
        <v>1.275640086763101</v>
      </c>
      <c r="AJ45" s="172">
        <v>0.37928071892997328</v>
      </c>
      <c r="AK45" s="108">
        <v>117.2905238</v>
      </c>
      <c r="AL45" s="109">
        <v>6.5204055570000001</v>
      </c>
      <c r="AM45" s="174">
        <v>328.66666666666669</v>
      </c>
      <c r="AN45" s="174">
        <v>45.087569117095775</v>
      </c>
      <c r="AO45" s="108">
        <v>210.09177614282154</v>
      </c>
      <c r="AP45" s="109">
        <v>22.27611382042274</v>
      </c>
      <c r="AQ45" s="110">
        <v>2.7566666666666664</v>
      </c>
      <c r="AR45" s="111">
        <v>0.46649997022746176</v>
      </c>
      <c r="AS45" s="175">
        <v>63.333333333333336</v>
      </c>
      <c r="AT45" s="109">
        <v>6.2360956446232363</v>
      </c>
    </row>
    <row r="46" spans="1:46" ht="15.5" customHeight="1">
      <c r="A46" s="98">
        <v>42</v>
      </c>
      <c r="B46" s="188"/>
      <c r="C46" s="98">
        <v>360</v>
      </c>
      <c r="D46" s="169">
        <v>1900</v>
      </c>
      <c r="E46" s="169">
        <v>0.06</v>
      </c>
      <c r="F46" s="99">
        <v>0.15</v>
      </c>
      <c r="G46" s="100">
        <f t="shared" si="0"/>
        <v>0.18947368421052632</v>
      </c>
      <c r="H46" s="170">
        <f t="shared" si="1"/>
        <v>21.05263157894737</v>
      </c>
      <c r="I46" s="170">
        <f t="shared" si="2"/>
        <v>8.2589664193402239</v>
      </c>
      <c r="J46" s="101">
        <f t="shared" si="3"/>
        <v>684</v>
      </c>
      <c r="K46" s="102">
        <v>13.707851853663962</v>
      </c>
      <c r="L46" s="171">
        <v>1.6645915334760628</v>
      </c>
      <c r="M46" s="171">
        <v>17.067275092625412</v>
      </c>
      <c r="N46" s="103">
        <v>2.0741711637649574</v>
      </c>
      <c r="O46" s="172"/>
      <c r="P46" s="172"/>
      <c r="Q46" s="172"/>
      <c r="R46" s="173"/>
      <c r="S46" s="173"/>
      <c r="T46" s="173"/>
      <c r="U46" s="172"/>
      <c r="V46" s="172"/>
      <c r="W46" s="104"/>
      <c r="X46" s="172"/>
      <c r="Y46" s="172"/>
      <c r="Z46" s="100">
        <v>0.82870461399999995</v>
      </c>
      <c r="AA46" s="171">
        <v>0.61851866700000002</v>
      </c>
      <c r="AB46" s="105">
        <v>0.110696407</v>
      </c>
      <c r="AC46" s="170">
        <v>80.134053750000007</v>
      </c>
      <c r="AD46" s="170">
        <v>55.899939709999998</v>
      </c>
      <c r="AE46" s="170">
        <v>118.87915148180301</v>
      </c>
      <c r="AF46" s="170">
        <v>176.89806386840499</v>
      </c>
      <c r="AG46" s="106">
        <v>1.25435741123302</v>
      </c>
      <c r="AH46" s="107">
        <v>5.5838329114372802E-2</v>
      </c>
      <c r="AI46" s="173">
        <v>2.091165167492163</v>
      </c>
      <c r="AJ46" s="172">
        <v>0.3717751457037165</v>
      </c>
      <c r="AK46" s="108">
        <v>108.0009543</v>
      </c>
      <c r="AL46" s="109">
        <v>5.123002724</v>
      </c>
      <c r="AM46" s="174">
        <v>312</v>
      </c>
      <c r="AN46" s="174">
        <v>12.027745701779143</v>
      </c>
      <c r="AO46" s="108">
        <v>208.27724212692922</v>
      </c>
      <c r="AP46" s="109">
        <v>12.467320314237185</v>
      </c>
      <c r="AQ46" s="110">
        <v>3.1266666666666665</v>
      </c>
      <c r="AR46" s="111">
        <v>0.7269265590293329</v>
      </c>
      <c r="AS46" s="175">
        <v>61</v>
      </c>
      <c r="AT46" s="109">
        <v>7.2571803523590805</v>
      </c>
    </row>
    <row r="47" spans="1:46" ht="15.5" customHeight="1">
      <c r="A47" s="98">
        <f>A46+1</f>
        <v>43</v>
      </c>
      <c r="B47" s="188"/>
      <c r="C47" s="112">
        <v>460</v>
      </c>
      <c r="D47" s="176">
        <v>250</v>
      </c>
      <c r="E47" s="169">
        <v>0.06</v>
      </c>
      <c r="F47" s="99">
        <v>0.15</v>
      </c>
      <c r="G47" s="100">
        <f t="shared" si="0"/>
        <v>1.84</v>
      </c>
      <c r="H47" s="170">
        <f t="shared" si="1"/>
        <v>204.44444444444446</v>
      </c>
      <c r="I47" s="170">
        <f t="shared" si="2"/>
        <v>29.092954473549092</v>
      </c>
      <c r="J47" s="101">
        <f t="shared" si="3"/>
        <v>115</v>
      </c>
      <c r="K47" s="102">
        <v>14.165008687906225</v>
      </c>
      <c r="L47" s="171">
        <v>1.475301343813235</v>
      </c>
      <c r="M47" s="171">
        <v>17.093937519070565</v>
      </c>
      <c r="N47" s="103">
        <v>1.6600371245216419</v>
      </c>
      <c r="O47" s="172"/>
      <c r="P47" s="172"/>
      <c r="Q47" s="172"/>
      <c r="R47" s="173"/>
      <c r="S47" s="173"/>
      <c r="T47" s="173"/>
      <c r="U47" s="172"/>
      <c r="V47" s="172"/>
      <c r="W47" s="104"/>
      <c r="X47" s="172"/>
      <c r="Y47" s="172"/>
      <c r="Z47" s="102">
        <v>0.89516799300000005</v>
      </c>
      <c r="AA47" s="171">
        <v>0.88102431000000003</v>
      </c>
      <c r="AB47" s="105">
        <v>9.4594973999999998E-2</v>
      </c>
      <c r="AC47" s="170">
        <v>124.6988209</v>
      </c>
      <c r="AD47" s="170">
        <v>70.463095809999999</v>
      </c>
      <c r="AE47" s="170">
        <v>160.195162764104</v>
      </c>
      <c r="AF47" s="170">
        <v>191.33349370732</v>
      </c>
      <c r="AG47" s="106">
        <v>6.2805635235884001</v>
      </c>
      <c r="AH47" s="107">
        <v>0.14464804032942899</v>
      </c>
      <c r="AI47" s="173">
        <v>3.9009879625776511</v>
      </c>
      <c r="AJ47" s="173">
        <v>0.34423242606775972</v>
      </c>
      <c r="AK47" s="113">
        <v>82.327745210000003</v>
      </c>
      <c r="AL47" s="114">
        <v>19.486428929999999</v>
      </c>
      <c r="AM47" s="174">
        <v>247</v>
      </c>
      <c r="AN47" s="174">
        <v>24.097026095903757</v>
      </c>
      <c r="AO47" s="108">
        <v>156.79546697110516</v>
      </c>
      <c r="AP47" s="109">
        <v>18.995518612265368</v>
      </c>
      <c r="AQ47" s="110">
        <v>4.1766666666666667</v>
      </c>
      <c r="AR47" s="111">
        <v>1.5310199940635087</v>
      </c>
      <c r="AS47" s="175">
        <v>77</v>
      </c>
      <c r="AT47" s="109">
        <v>21.118712081942874</v>
      </c>
    </row>
    <row r="48" spans="1:46" ht="15.5" customHeight="1">
      <c r="A48" s="98">
        <f t="shared" ref="A48:A63" si="4">A47+1</f>
        <v>44</v>
      </c>
      <c r="B48" s="188"/>
      <c r="C48" s="112">
        <v>460</v>
      </c>
      <c r="D48" s="176">
        <v>800</v>
      </c>
      <c r="E48" s="169">
        <v>0.06</v>
      </c>
      <c r="F48" s="99">
        <v>0.15</v>
      </c>
      <c r="G48" s="100">
        <f t="shared" si="0"/>
        <v>0.57499999999999996</v>
      </c>
      <c r="H48" s="170">
        <f t="shared" si="1"/>
        <v>63.888888888888893</v>
      </c>
      <c r="I48" s="170">
        <f t="shared" si="2"/>
        <v>16.263455967290593</v>
      </c>
      <c r="J48" s="101">
        <f t="shared" si="3"/>
        <v>368</v>
      </c>
      <c r="K48" s="102">
        <v>13.402371092151387</v>
      </c>
      <c r="L48" s="171">
        <v>1.80481806461757</v>
      </c>
      <c r="M48" s="171">
        <v>16.570171739310659</v>
      </c>
      <c r="N48" s="103">
        <v>2.170260697447485</v>
      </c>
      <c r="O48" s="172"/>
      <c r="P48" s="172"/>
      <c r="Q48" s="172"/>
      <c r="R48" s="173"/>
      <c r="S48" s="173"/>
      <c r="T48" s="173"/>
      <c r="U48" s="172"/>
      <c r="V48" s="172"/>
      <c r="W48" s="104"/>
      <c r="X48" s="172"/>
      <c r="Y48" s="172"/>
      <c r="Z48" s="102">
        <v>0.89922073700000005</v>
      </c>
      <c r="AA48" s="171">
        <v>0.89227616799999998</v>
      </c>
      <c r="AB48" s="105">
        <v>9.7838352000000003E-2</v>
      </c>
      <c r="AC48" s="170">
        <v>115.3950909</v>
      </c>
      <c r="AD48" s="170">
        <v>50.647018950000003</v>
      </c>
      <c r="AE48" s="170">
        <v>135.59618732768601</v>
      </c>
      <c r="AF48" s="170">
        <v>146.848297908017</v>
      </c>
      <c r="AG48" s="106">
        <v>7.2545007813699502</v>
      </c>
      <c r="AH48" s="107">
        <v>0.20780238399777201</v>
      </c>
      <c r="AI48" s="173">
        <v>5.694229518491146</v>
      </c>
      <c r="AJ48" s="173">
        <v>8.5524127508468342E-2</v>
      </c>
      <c r="AK48" s="113">
        <v>98.435599370000006</v>
      </c>
      <c r="AL48" s="114">
        <v>4.9148919109999998</v>
      </c>
      <c r="AM48" s="174">
        <v>329.66666666666669</v>
      </c>
      <c r="AN48" s="174">
        <v>55.481728724168484</v>
      </c>
      <c r="AO48" s="108">
        <v>203.18766634205485</v>
      </c>
      <c r="AP48" s="109">
        <v>28.332560161316348</v>
      </c>
      <c r="AQ48" s="110">
        <v>3.9033333333333338</v>
      </c>
      <c r="AR48" s="111">
        <v>0.20757863302587015</v>
      </c>
      <c r="AS48" s="175">
        <v>58.333333333333336</v>
      </c>
      <c r="AT48" s="115">
        <v>8.4983658559879753</v>
      </c>
    </row>
    <row r="49" spans="1:46" ht="15.5" customHeight="1">
      <c r="A49" s="98">
        <f t="shared" si="4"/>
        <v>45</v>
      </c>
      <c r="B49" s="188"/>
      <c r="C49" s="112">
        <v>460</v>
      </c>
      <c r="D49" s="176">
        <v>1350</v>
      </c>
      <c r="E49" s="169">
        <v>0.06</v>
      </c>
      <c r="F49" s="99">
        <v>0.15</v>
      </c>
      <c r="G49" s="100">
        <f t="shared" si="0"/>
        <v>0.34074074074074073</v>
      </c>
      <c r="H49" s="170">
        <f t="shared" si="1"/>
        <v>37.860082304526749</v>
      </c>
      <c r="I49" s="170">
        <f t="shared" si="2"/>
        <v>12.519614240891798</v>
      </c>
      <c r="J49" s="101">
        <f t="shared" si="3"/>
        <v>621</v>
      </c>
      <c r="K49" s="102">
        <v>15.685173759104</v>
      </c>
      <c r="L49" s="171">
        <v>2.3838031058939335</v>
      </c>
      <c r="M49" s="171">
        <v>19.545161381754014</v>
      </c>
      <c r="N49" s="103">
        <v>2.9336520224610405</v>
      </c>
      <c r="O49" s="172"/>
      <c r="P49" s="172"/>
      <c r="Q49" s="172"/>
      <c r="R49" s="173"/>
      <c r="S49" s="173"/>
      <c r="T49" s="173"/>
      <c r="U49" s="172"/>
      <c r="V49" s="172"/>
      <c r="W49" s="104"/>
      <c r="X49" s="172"/>
      <c r="Y49" s="172"/>
      <c r="Z49" s="102">
        <v>0.87071908499999995</v>
      </c>
      <c r="AA49" s="171">
        <v>0.88724735300000002</v>
      </c>
      <c r="AB49" s="105">
        <v>8.9341841000000005E-2</v>
      </c>
      <c r="AC49" s="170">
        <v>64.403383629999993</v>
      </c>
      <c r="AD49" s="170">
        <v>24.6273041</v>
      </c>
      <c r="AE49" s="170">
        <v>73.707737365048004</v>
      </c>
      <c r="AF49" s="170">
        <v>83.345989555088593</v>
      </c>
      <c r="AG49" s="106">
        <v>0.465838057234849</v>
      </c>
      <c r="AH49" s="107">
        <v>2.9200442768725899E-2</v>
      </c>
      <c r="AI49" s="173">
        <v>1.4451220577699104</v>
      </c>
      <c r="AJ49" s="173">
        <v>0.22194010970538097</v>
      </c>
      <c r="AK49" s="113">
        <v>114.54845779999999</v>
      </c>
      <c r="AL49" s="114">
        <v>6.0629501890000004</v>
      </c>
      <c r="AM49" s="174">
        <v>308.33333333333331</v>
      </c>
      <c r="AN49" s="174">
        <v>36.572606627851336</v>
      </c>
      <c r="AO49" s="108">
        <v>184.98411977136672</v>
      </c>
      <c r="AP49" s="109">
        <v>25.788835479072794</v>
      </c>
      <c r="AQ49" s="110">
        <v>3.6766666666666663</v>
      </c>
      <c r="AR49" s="111">
        <v>0.40892813821284457</v>
      </c>
      <c r="AS49" s="175">
        <v>56.333333333333336</v>
      </c>
      <c r="AT49" s="115">
        <v>1.247219128924647</v>
      </c>
    </row>
    <row r="50" spans="1:46" ht="15.5" customHeight="1">
      <c r="A50" s="98">
        <f t="shared" si="4"/>
        <v>46</v>
      </c>
      <c r="B50" s="188"/>
      <c r="C50" s="112">
        <v>460</v>
      </c>
      <c r="D50" s="176">
        <v>1900</v>
      </c>
      <c r="E50" s="169">
        <v>0.06</v>
      </c>
      <c r="F50" s="99">
        <v>0.15</v>
      </c>
      <c r="G50" s="100">
        <f t="shared" si="0"/>
        <v>0.24210526315789474</v>
      </c>
      <c r="H50" s="170">
        <f t="shared" si="1"/>
        <v>26.900584795321642</v>
      </c>
      <c r="I50" s="170">
        <f t="shared" si="2"/>
        <v>10.553123758045841</v>
      </c>
      <c r="J50" s="101">
        <f t="shared" si="3"/>
        <v>874</v>
      </c>
      <c r="K50" s="102">
        <v>13.961451756638862</v>
      </c>
      <c r="L50" s="171">
        <v>1.5950448921437343</v>
      </c>
      <c r="M50" s="171">
        <v>17.756674608190362</v>
      </c>
      <c r="N50" s="103">
        <v>1.442477744454508</v>
      </c>
      <c r="O50" s="172"/>
      <c r="P50" s="172"/>
      <c r="Q50" s="172"/>
      <c r="R50" s="173"/>
      <c r="S50" s="173"/>
      <c r="T50" s="173"/>
      <c r="U50" s="172"/>
      <c r="V50" s="172"/>
      <c r="W50" s="104"/>
      <c r="X50" s="172"/>
      <c r="Y50" s="172"/>
      <c r="Z50" s="102">
        <v>0.83948304399999996</v>
      </c>
      <c r="AA50" s="171">
        <v>0.84648794500000002</v>
      </c>
      <c r="AB50" s="105">
        <v>7.1393582999999997E-2</v>
      </c>
      <c r="AC50" s="170">
        <v>57.238796540000003</v>
      </c>
      <c r="AD50" s="170">
        <v>20.091026540000001</v>
      </c>
      <c r="AE50" s="170">
        <v>64.216480139895395</v>
      </c>
      <c r="AF50" s="170">
        <v>68.768965914912997</v>
      </c>
      <c r="AG50" s="106">
        <v>0.238763898691814</v>
      </c>
      <c r="AH50" s="107">
        <v>1.68947918184322E-2</v>
      </c>
      <c r="AI50" s="173">
        <v>1.2882503681543369</v>
      </c>
      <c r="AJ50" s="173">
        <v>0.25702178224809413</v>
      </c>
      <c r="AK50" s="113">
        <v>119.16918579999999</v>
      </c>
      <c r="AL50" s="114">
        <v>6.6178308890000004</v>
      </c>
      <c r="AM50" s="174">
        <v>349</v>
      </c>
      <c r="AN50" s="174">
        <v>21.416504538945347</v>
      </c>
      <c r="AO50" s="108">
        <v>228.66556603089805</v>
      </c>
      <c r="AP50" s="109">
        <v>4.7358690670178003</v>
      </c>
      <c r="AQ50" s="110">
        <v>3.09</v>
      </c>
      <c r="AR50" s="111">
        <v>0.45321076774498698</v>
      </c>
      <c r="AS50" s="175">
        <v>56</v>
      </c>
      <c r="AT50" s="115">
        <v>7.1180521680208741</v>
      </c>
    </row>
    <row r="51" spans="1:46" ht="15.5" customHeight="1">
      <c r="A51" s="98">
        <f t="shared" si="4"/>
        <v>47</v>
      </c>
      <c r="B51" s="188"/>
      <c r="C51" s="112">
        <v>460</v>
      </c>
      <c r="D51" s="176">
        <v>2450</v>
      </c>
      <c r="E51" s="169">
        <v>0.06</v>
      </c>
      <c r="F51" s="99">
        <v>0.15</v>
      </c>
      <c r="G51" s="100">
        <f t="shared" si="0"/>
        <v>0.18775510204081633</v>
      </c>
      <c r="H51" s="170">
        <f t="shared" si="1"/>
        <v>20.861678004535147</v>
      </c>
      <c r="I51" s="170">
        <f t="shared" si="2"/>
        <v>9.2934034098803391</v>
      </c>
      <c r="J51" s="101">
        <f t="shared" si="3"/>
        <v>1127</v>
      </c>
      <c r="K51" s="102">
        <v>14.131755424573413</v>
      </c>
      <c r="L51" s="171">
        <v>1.2906467161223665</v>
      </c>
      <c r="M51" s="171">
        <v>17.915512441528666</v>
      </c>
      <c r="N51" s="103">
        <v>1.5071713336139476</v>
      </c>
      <c r="O51" s="172"/>
      <c r="P51" s="172"/>
      <c r="Q51" s="172"/>
      <c r="R51" s="173"/>
      <c r="S51" s="173"/>
      <c r="T51" s="173"/>
      <c r="U51" s="172"/>
      <c r="V51" s="172"/>
      <c r="W51" s="104"/>
      <c r="X51" s="172"/>
      <c r="Y51" s="172"/>
      <c r="Z51" s="102">
        <v>0.84522894500000001</v>
      </c>
      <c r="AA51" s="171">
        <v>0.71428344300000002</v>
      </c>
      <c r="AB51" s="105">
        <v>9.5545850000000002E-2</v>
      </c>
      <c r="AC51" s="170">
        <v>70.972883659999994</v>
      </c>
      <c r="AD51" s="170">
        <v>38.961951980000002</v>
      </c>
      <c r="AE51" s="170">
        <v>93.375304082626698</v>
      </c>
      <c r="AF51" s="170">
        <v>130.85082635463499</v>
      </c>
      <c r="AG51" s="106">
        <v>0.87219975384967896</v>
      </c>
      <c r="AH51" s="107">
        <v>4.7953365460826902E-2</v>
      </c>
      <c r="AI51" s="173">
        <v>1.6273082963912875</v>
      </c>
      <c r="AJ51" s="173">
        <v>0.10958910984768791</v>
      </c>
      <c r="AK51" s="113">
        <v>120.9111272</v>
      </c>
      <c r="AL51" s="114">
        <v>7.7809299879999996</v>
      </c>
      <c r="AM51" s="174">
        <v>307.66666666666669</v>
      </c>
      <c r="AN51" s="174">
        <v>17.46106780494506</v>
      </c>
      <c r="AO51" s="108">
        <v>216.95815113358739</v>
      </c>
      <c r="AP51" s="109">
        <v>18.330526544802183</v>
      </c>
      <c r="AQ51" s="110">
        <v>2.1633333333333336</v>
      </c>
      <c r="AR51" s="111">
        <v>0.36808815369268394</v>
      </c>
      <c r="AS51" s="175">
        <v>64.666666666666671</v>
      </c>
      <c r="AT51" s="115">
        <v>5.5577773335110221</v>
      </c>
    </row>
    <row r="52" spans="1:46" ht="15.5" customHeight="1">
      <c r="A52" s="98">
        <f t="shared" si="4"/>
        <v>48</v>
      </c>
      <c r="B52" s="188"/>
      <c r="C52" s="112">
        <v>110</v>
      </c>
      <c r="D52" s="176">
        <v>250</v>
      </c>
      <c r="E52" s="169">
        <v>0.06</v>
      </c>
      <c r="F52" s="99">
        <v>0.15</v>
      </c>
      <c r="G52" s="100">
        <f t="shared" si="0"/>
        <v>0.44</v>
      </c>
      <c r="H52" s="170">
        <f t="shared" si="1"/>
        <v>48.888888888888886</v>
      </c>
      <c r="I52" s="170">
        <f t="shared" si="2"/>
        <v>6.957010852370435</v>
      </c>
      <c r="J52" s="101">
        <f t="shared" si="3"/>
        <v>27.5</v>
      </c>
      <c r="K52" s="102">
        <v>16.229903247870961</v>
      </c>
      <c r="L52" s="171">
        <v>3.4661925692499156</v>
      </c>
      <c r="M52" s="171">
        <v>20.170204221091765</v>
      </c>
      <c r="N52" s="103">
        <v>4.4202120122218194</v>
      </c>
      <c r="O52" s="172"/>
      <c r="P52" s="172"/>
      <c r="Q52" s="172"/>
      <c r="R52" s="173"/>
      <c r="S52" s="173"/>
      <c r="T52" s="173"/>
      <c r="U52" s="172"/>
      <c r="V52" s="172"/>
      <c r="W52" s="104"/>
      <c r="X52" s="172"/>
      <c r="Y52" s="172"/>
      <c r="Z52" s="102">
        <v>0.84522894500000001</v>
      </c>
      <c r="AA52" s="171">
        <v>0.71428344300000002</v>
      </c>
      <c r="AB52" s="105">
        <v>9.5545850000000002E-2</v>
      </c>
      <c r="AC52" s="170">
        <v>70.972883659999994</v>
      </c>
      <c r="AD52" s="170">
        <v>38.961951980000002</v>
      </c>
      <c r="AE52" s="170">
        <v>167.790496669124</v>
      </c>
      <c r="AF52" s="170">
        <v>255.72046764524299</v>
      </c>
      <c r="AG52" s="106">
        <v>0.83391252828928997</v>
      </c>
      <c r="AH52" s="107">
        <v>4.5848341569597002E-2</v>
      </c>
      <c r="AI52" s="173">
        <v>3.6215671329875407</v>
      </c>
      <c r="AJ52" s="173">
        <v>0.17628559807212182</v>
      </c>
      <c r="AK52" s="113">
        <v>103.9790053</v>
      </c>
      <c r="AL52" s="114">
        <v>2.4755386499999998</v>
      </c>
      <c r="AM52" s="174">
        <v>249.33333333333334</v>
      </c>
      <c r="AN52" s="174">
        <v>20.072092289766129</v>
      </c>
      <c r="AO52" s="108">
        <v>183.8227570343771</v>
      </c>
      <c r="AP52" s="109">
        <v>17.075212911421804</v>
      </c>
      <c r="AQ52" s="110">
        <v>1.5333333333333332</v>
      </c>
      <c r="AR52" s="111">
        <v>0.21669230617526747</v>
      </c>
      <c r="AS52" s="175">
        <v>51.333333333333336</v>
      </c>
      <c r="AT52" s="115">
        <v>3.2998316455372221</v>
      </c>
    </row>
    <row r="53" spans="1:46" ht="15.5" customHeight="1">
      <c r="A53" s="98">
        <f t="shared" si="4"/>
        <v>49</v>
      </c>
      <c r="B53" s="188"/>
      <c r="C53" s="112">
        <v>110</v>
      </c>
      <c r="D53" s="176">
        <v>500</v>
      </c>
      <c r="E53" s="169">
        <v>0.06</v>
      </c>
      <c r="F53" s="99">
        <v>0.15</v>
      </c>
      <c r="G53" s="100">
        <f t="shared" si="0"/>
        <v>0.22</v>
      </c>
      <c r="H53" s="170">
        <f t="shared" si="1"/>
        <v>24.444444444444443</v>
      </c>
      <c r="I53" s="170">
        <f t="shared" si="2"/>
        <v>4.919349550499537</v>
      </c>
      <c r="J53" s="101">
        <f t="shared" si="3"/>
        <v>55</v>
      </c>
      <c r="K53" s="102">
        <v>13.465112014381049</v>
      </c>
      <c r="L53" s="171">
        <v>0.88094077877541199</v>
      </c>
      <c r="M53" s="171">
        <v>16.804133776120338</v>
      </c>
      <c r="N53" s="103">
        <v>1.6638862383575743</v>
      </c>
      <c r="O53" s="172"/>
      <c r="P53" s="172"/>
      <c r="Q53" s="172"/>
      <c r="R53" s="173"/>
      <c r="S53" s="173"/>
      <c r="T53" s="173"/>
      <c r="U53" s="172"/>
      <c r="V53" s="172"/>
      <c r="W53" s="104"/>
      <c r="X53" s="172"/>
      <c r="Y53" s="172"/>
      <c r="Z53" s="102">
        <v>0.868422307</v>
      </c>
      <c r="AA53" s="171">
        <v>0.48579117399999999</v>
      </c>
      <c r="AB53" s="105">
        <v>8.5794010000000004E-2</v>
      </c>
      <c r="AC53" s="170">
        <v>68.409150530000005</v>
      </c>
      <c r="AD53" s="170">
        <v>80.524525139999994</v>
      </c>
      <c r="AE53" s="170">
        <v>276.01549144225203</v>
      </c>
      <c r="AF53" s="170">
        <v>1002.6716275681</v>
      </c>
      <c r="AG53" s="106">
        <v>10.629263558794401</v>
      </c>
      <c r="AH53" s="107">
        <v>0.274740504134662</v>
      </c>
      <c r="AI53" s="173">
        <v>5.6433934490464219</v>
      </c>
      <c r="AJ53" s="173">
        <v>0.13438047077837181</v>
      </c>
      <c r="AK53" s="113">
        <v>118.64820450000001</v>
      </c>
      <c r="AL53" s="114">
        <v>11.638073390000001</v>
      </c>
      <c r="AM53" s="174">
        <v>214.33333333333334</v>
      </c>
      <c r="AN53" s="174">
        <v>30.070288030250428</v>
      </c>
      <c r="AO53" s="108">
        <v>159.18285771164824</v>
      </c>
      <c r="AP53" s="109">
        <v>27.800704928241576</v>
      </c>
      <c r="AQ53" s="110">
        <v>1.07</v>
      </c>
      <c r="AR53" s="111">
        <v>0.30474032661705042</v>
      </c>
      <c r="AS53" s="175">
        <v>58.666666666666664</v>
      </c>
      <c r="AT53" s="115">
        <v>4.1899350299921787</v>
      </c>
    </row>
    <row r="54" spans="1:46" ht="15.5" customHeight="1">
      <c r="A54" s="98">
        <f t="shared" si="4"/>
        <v>50</v>
      </c>
      <c r="B54" s="188"/>
      <c r="C54" s="112">
        <v>160</v>
      </c>
      <c r="D54" s="176">
        <v>500</v>
      </c>
      <c r="E54" s="169">
        <v>0.06</v>
      </c>
      <c r="F54" s="99">
        <v>0.15</v>
      </c>
      <c r="G54" s="100">
        <f t="shared" si="0"/>
        <v>0.32</v>
      </c>
      <c r="H54" s="170">
        <f t="shared" si="1"/>
        <v>35.555555555555557</v>
      </c>
      <c r="I54" s="170">
        <f t="shared" si="2"/>
        <v>7.1554175279993268</v>
      </c>
      <c r="J54" s="101">
        <f t="shared" si="3"/>
        <v>80</v>
      </c>
      <c r="K54" s="102">
        <v>15.386721597939886</v>
      </c>
      <c r="L54" s="171">
        <v>1.7196902050455825</v>
      </c>
      <c r="M54" s="171">
        <v>19.679884760868614</v>
      </c>
      <c r="N54" s="103">
        <v>3.5699605019596512</v>
      </c>
      <c r="O54" s="172"/>
      <c r="P54" s="172"/>
      <c r="Q54" s="172"/>
      <c r="R54" s="173"/>
      <c r="S54" s="173"/>
      <c r="T54" s="173"/>
      <c r="U54" s="172"/>
      <c r="V54" s="172"/>
      <c r="W54" s="104"/>
      <c r="X54" s="172"/>
      <c r="Y54" s="172"/>
      <c r="Z54" s="102">
        <v>0.85668769600000005</v>
      </c>
      <c r="AA54" s="171">
        <v>0.72613239699999998</v>
      </c>
      <c r="AB54" s="105">
        <v>9.3186501000000005E-2</v>
      </c>
      <c r="AC54" s="170">
        <v>75.51541082</v>
      </c>
      <c r="AD54" s="170">
        <v>44.265069599999997</v>
      </c>
      <c r="AE54" s="170">
        <v>102.434518901442</v>
      </c>
      <c r="AF54" s="170">
        <v>145.643746417633</v>
      </c>
      <c r="AG54" s="106">
        <v>0.99152136623511899</v>
      </c>
      <c r="AH54" s="107">
        <v>4.3799821372944199E-2</v>
      </c>
      <c r="AI54" s="173">
        <v>1.8226592928520933</v>
      </c>
      <c r="AJ54" s="173">
        <v>0.10982834876862715</v>
      </c>
      <c r="AK54" s="113">
        <v>124.0742278</v>
      </c>
      <c r="AL54" s="114">
        <v>9.7136339629999995</v>
      </c>
      <c r="AM54" s="174">
        <v>309</v>
      </c>
      <c r="AN54" s="174">
        <v>23.678400846904054</v>
      </c>
      <c r="AO54" s="108">
        <v>207.66206406083791</v>
      </c>
      <c r="AP54" s="109">
        <v>18.565345894077563</v>
      </c>
      <c r="AQ54" s="110">
        <v>2.5333333333333337</v>
      </c>
      <c r="AR54" s="111">
        <v>0.56864361031805843</v>
      </c>
      <c r="AS54" s="175">
        <v>56.333333333333336</v>
      </c>
      <c r="AT54" s="115">
        <v>3.6817870057290873</v>
      </c>
    </row>
    <row r="55" spans="1:46" ht="15.5" customHeight="1">
      <c r="A55" s="116">
        <f t="shared" si="4"/>
        <v>51</v>
      </c>
      <c r="B55" s="188"/>
      <c r="C55" s="112">
        <v>260</v>
      </c>
      <c r="D55" s="176">
        <v>500</v>
      </c>
      <c r="E55" s="177">
        <v>0.06</v>
      </c>
      <c r="F55" s="117">
        <v>0.15</v>
      </c>
      <c r="G55" s="118">
        <f t="shared" si="0"/>
        <v>0.52</v>
      </c>
      <c r="H55" s="178">
        <f t="shared" si="1"/>
        <v>57.777777777777779</v>
      </c>
      <c r="I55" s="170">
        <f t="shared" si="2"/>
        <v>11.627553482998906</v>
      </c>
      <c r="J55" s="119">
        <f t="shared" si="3"/>
        <v>130</v>
      </c>
      <c r="K55" s="102">
        <v>15.485898970407463</v>
      </c>
      <c r="L55" s="171">
        <v>1.5567486518043199</v>
      </c>
      <c r="M55" s="171">
        <v>20.073032180077387</v>
      </c>
      <c r="N55" s="103">
        <v>1.8125286497252637</v>
      </c>
      <c r="O55" s="179"/>
      <c r="P55" s="179"/>
      <c r="Q55" s="179"/>
      <c r="R55" s="173"/>
      <c r="S55" s="173"/>
      <c r="T55" s="173"/>
      <c r="U55" s="179"/>
      <c r="V55" s="179"/>
      <c r="W55" s="120"/>
      <c r="X55" s="179"/>
      <c r="Y55" s="179"/>
      <c r="Z55" s="102">
        <v>0.91063604499999995</v>
      </c>
      <c r="AA55" s="171">
        <v>0.90257591299999995</v>
      </c>
      <c r="AB55" s="121">
        <v>0.101334034</v>
      </c>
      <c r="AC55" s="178">
        <v>92.416194910000002</v>
      </c>
      <c r="AD55" s="178">
        <v>39.551906950000003</v>
      </c>
      <c r="AE55" s="178">
        <v>108.319272258198</v>
      </c>
      <c r="AF55" s="178">
        <v>121.130356708904</v>
      </c>
      <c r="AG55" s="106">
        <v>5.1965756590918097</v>
      </c>
      <c r="AH55" s="107">
        <v>0.26333063044859001</v>
      </c>
      <c r="AI55" s="173">
        <v>3.5953634806587211</v>
      </c>
      <c r="AJ55" s="173">
        <v>0.22954441650360133</v>
      </c>
      <c r="AK55" s="113">
        <v>113.72442719999999</v>
      </c>
      <c r="AL55" s="114">
        <v>8.0993891569999992</v>
      </c>
      <c r="AM55" s="174">
        <v>291.66666666666669</v>
      </c>
      <c r="AN55" s="174">
        <v>24.580932086115496</v>
      </c>
      <c r="AO55" s="108">
        <v>176.95385190324507</v>
      </c>
      <c r="AP55" s="109">
        <v>17.016815045460422</v>
      </c>
      <c r="AQ55" s="110">
        <v>3.6199999999999997</v>
      </c>
      <c r="AR55" s="111">
        <v>0.55551777649324596</v>
      </c>
      <c r="AS55" s="180">
        <v>52.666666666666664</v>
      </c>
      <c r="AT55" s="115">
        <v>2.4944382578492941</v>
      </c>
    </row>
    <row r="56" spans="1:46" ht="15.5" customHeight="1">
      <c r="A56" s="116">
        <f t="shared" si="4"/>
        <v>52</v>
      </c>
      <c r="B56" s="188"/>
      <c r="C56" s="112">
        <v>360</v>
      </c>
      <c r="D56" s="176">
        <v>500</v>
      </c>
      <c r="E56" s="177">
        <v>0.06</v>
      </c>
      <c r="F56" s="117">
        <v>0.15</v>
      </c>
      <c r="G56" s="118">
        <f t="shared" si="0"/>
        <v>0.72</v>
      </c>
      <c r="H56" s="178">
        <f t="shared" si="1"/>
        <v>80</v>
      </c>
      <c r="I56" s="170">
        <f t="shared" si="2"/>
        <v>16.099689437998485</v>
      </c>
      <c r="J56" s="119">
        <f t="shared" si="3"/>
        <v>180</v>
      </c>
      <c r="K56" s="102">
        <v>14.0107975580508</v>
      </c>
      <c r="L56" s="171">
        <v>1.1857132856441539</v>
      </c>
      <c r="M56" s="171">
        <v>17.940361517949036</v>
      </c>
      <c r="N56" s="103">
        <v>2.2194999587757138</v>
      </c>
      <c r="O56" s="179"/>
      <c r="P56" s="179"/>
      <c r="Q56" s="179"/>
      <c r="R56" s="173"/>
      <c r="S56" s="173"/>
      <c r="T56" s="173"/>
      <c r="U56" s="179"/>
      <c r="V56" s="179"/>
      <c r="W56" s="120"/>
      <c r="X56" s="179"/>
      <c r="Y56" s="179"/>
      <c r="Z56" s="102">
        <v>0.90887270099999995</v>
      </c>
      <c r="AA56" s="171">
        <v>0.88882539299999996</v>
      </c>
      <c r="AB56" s="121">
        <v>8.7417090000000003E-2</v>
      </c>
      <c r="AC56" s="178">
        <v>135.19176619999999</v>
      </c>
      <c r="AD56" s="178">
        <v>68.838456699999995</v>
      </c>
      <c r="AE56" s="178">
        <v>165.873878844421</v>
      </c>
      <c r="AF56" s="178">
        <v>184.334050911216</v>
      </c>
      <c r="AG56" s="106">
        <v>7.9129027008005499</v>
      </c>
      <c r="AH56" s="107">
        <v>0.17662165048769801</v>
      </c>
      <c r="AI56" s="173">
        <v>5.9257574232010963</v>
      </c>
      <c r="AJ56" s="173">
        <v>0.2370833283027442</v>
      </c>
      <c r="AK56" s="113">
        <v>116.51036860000001</v>
      </c>
      <c r="AL56" s="114">
        <v>13.965030519999999</v>
      </c>
      <c r="AM56" s="174">
        <v>254.66666666666666</v>
      </c>
      <c r="AN56" s="174">
        <v>15.3260852434302</v>
      </c>
      <c r="AO56" s="108">
        <v>154.66189387102591</v>
      </c>
      <c r="AP56" s="109">
        <v>11.072573339743423</v>
      </c>
      <c r="AQ56" s="110">
        <v>4.003333333333333</v>
      </c>
      <c r="AR56" s="111">
        <v>0.18732028424302824</v>
      </c>
      <c r="AS56" s="180">
        <v>56</v>
      </c>
      <c r="AT56" s="115">
        <v>2.9439202887759488</v>
      </c>
    </row>
    <row r="57" spans="1:46" ht="15.5" customHeight="1">
      <c r="A57" s="116">
        <f t="shared" si="4"/>
        <v>53</v>
      </c>
      <c r="B57" s="188"/>
      <c r="C57" s="112">
        <v>460</v>
      </c>
      <c r="D57" s="176">
        <v>500</v>
      </c>
      <c r="E57" s="177">
        <v>0.06</v>
      </c>
      <c r="F57" s="117">
        <v>0.15</v>
      </c>
      <c r="G57" s="118">
        <f t="shared" si="0"/>
        <v>0.92</v>
      </c>
      <c r="H57" s="178">
        <f t="shared" si="1"/>
        <v>102.22222222222223</v>
      </c>
      <c r="I57" s="170">
        <f t="shared" si="2"/>
        <v>20.571825392998065</v>
      </c>
      <c r="J57" s="119">
        <f t="shared" si="3"/>
        <v>230</v>
      </c>
      <c r="K57" s="102">
        <v>17.123537222001513</v>
      </c>
      <c r="L57" s="171">
        <v>4.5822670447582965</v>
      </c>
      <c r="M57" s="171">
        <v>23.719067396137252</v>
      </c>
      <c r="N57" s="103">
        <v>8.4307002621730831</v>
      </c>
      <c r="O57" s="179"/>
      <c r="P57" s="179"/>
      <c r="Q57" s="179"/>
      <c r="R57" s="173"/>
      <c r="S57" s="173"/>
      <c r="T57" s="173"/>
      <c r="U57" s="179"/>
      <c r="V57" s="179"/>
      <c r="W57" s="120"/>
      <c r="X57" s="179"/>
      <c r="Y57" s="179"/>
      <c r="Z57" s="102">
        <v>0.91156440000000005</v>
      </c>
      <c r="AA57" s="171">
        <v>0.90016547800000002</v>
      </c>
      <c r="AB57" s="121">
        <v>8.8080004000000003E-2</v>
      </c>
      <c r="AC57" s="178">
        <v>118.7721555</v>
      </c>
      <c r="AD57" s="178">
        <v>63.212137319999997</v>
      </c>
      <c r="AE57" s="178">
        <v>149.121212815646</v>
      </c>
      <c r="AF57" s="178">
        <v>174.67496345902899</v>
      </c>
      <c r="AG57" s="106">
        <v>6.5743090466582297</v>
      </c>
      <c r="AH57" s="107">
        <v>0.168826452368768</v>
      </c>
      <c r="AI57" s="173">
        <v>5.0567595459236054</v>
      </c>
      <c r="AJ57" s="173">
        <v>7.746067402133959E-2</v>
      </c>
      <c r="AK57" s="113">
        <v>109.4614493</v>
      </c>
      <c r="AL57" s="114">
        <v>5.9453677579999997</v>
      </c>
      <c r="AM57" s="174">
        <v>256.66666666666669</v>
      </c>
      <c r="AN57" s="174">
        <v>26.836956277160461</v>
      </c>
      <c r="AO57" s="108">
        <v>152.17418840906487</v>
      </c>
      <c r="AP57" s="109">
        <v>20.780012909672244</v>
      </c>
      <c r="AQ57" s="110">
        <v>4.5166666666666666</v>
      </c>
      <c r="AR57" s="111">
        <v>0.17632041540584245</v>
      </c>
      <c r="AS57" s="180">
        <v>57.333333333333336</v>
      </c>
      <c r="AT57" s="115">
        <v>8.4983658559879753</v>
      </c>
    </row>
    <row r="58" spans="1:46" ht="15.5" customHeight="1">
      <c r="A58" s="116">
        <f t="shared" si="4"/>
        <v>54</v>
      </c>
      <c r="B58" s="188"/>
      <c r="C58" s="112">
        <v>210</v>
      </c>
      <c r="D58" s="176">
        <v>250</v>
      </c>
      <c r="E58" s="177">
        <v>0.06</v>
      </c>
      <c r="F58" s="117">
        <v>0.15</v>
      </c>
      <c r="G58" s="118">
        <f t="shared" si="0"/>
        <v>0.84</v>
      </c>
      <c r="H58" s="178">
        <f t="shared" si="1"/>
        <v>93.333333333333329</v>
      </c>
      <c r="I58" s="170">
        <f t="shared" si="2"/>
        <v>13.281566172707194</v>
      </c>
      <c r="J58" s="119">
        <f t="shared" si="3"/>
        <v>52.5</v>
      </c>
      <c r="K58" s="102">
        <v>13.597314402192842</v>
      </c>
      <c r="L58" s="171">
        <v>2.3050234575490096</v>
      </c>
      <c r="M58" s="171">
        <v>16.773662607807545</v>
      </c>
      <c r="N58" s="103">
        <v>3.4620368277917493</v>
      </c>
      <c r="O58" s="179"/>
      <c r="P58" s="179"/>
      <c r="Q58" s="179"/>
      <c r="R58" s="173"/>
      <c r="S58" s="173"/>
      <c r="T58" s="173"/>
      <c r="U58" s="179"/>
      <c r="V58" s="179"/>
      <c r="W58" s="120"/>
      <c r="X58" s="179"/>
      <c r="Y58" s="179"/>
      <c r="Z58" s="102">
        <v>0.93155363000000002</v>
      </c>
      <c r="AA58" s="171">
        <v>0.91796452799999995</v>
      </c>
      <c r="AB58" s="121">
        <v>7.6760433000000003E-2</v>
      </c>
      <c r="AC58" s="178">
        <v>91.313510460000003</v>
      </c>
      <c r="AD58" s="178">
        <v>35.684229649999999</v>
      </c>
      <c r="AE58" s="178">
        <v>104.79821372816301</v>
      </c>
      <c r="AF58" s="178">
        <v>115.34139486337099</v>
      </c>
      <c r="AG58" s="106">
        <v>4.7934886404935702</v>
      </c>
      <c r="AH58" s="107">
        <v>0.203145645634452</v>
      </c>
      <c r="AI58" s="173">
        <v>3.8082397003744655</v>
      </c>
      <c r="AJ58" s="173">
        <v>0.19992162184010281</v>
      </c>
      <c r="AK58" s="113">
        <v>110.59293529999999</v>
      </c>
      <c r="AL58" s="114">
        <v>6.8501593779999999</v>
      </c>
      <c r="AM58" s="174">
        <v>307.66666666666669</v>
      </c>
      <c r="AN58" s="174">
        <v>46.341725858620713</v>
      </c>
      <c r="AO58" s="108">
        <v>188.12124073498796</v>
      </c>
      <c r="AP58" s="109">
        <v>33.64477632588968</v>
      </c>
      <c r="AQ58" s="110">
        <v>3.4499999999999997</v>
      </c>
      <c r="AR58" s="111">
        <v>0.61226355980628711</v>
      </c>
      <c r="AS58" s="180">
        <v>57</v>
      </c>
      <c r="AT58" s="115">
        <v>3.7416573867739413</v>
      </c>
    </row>
    <row r="59" spans="1:46" ht="15.5" customHeight="1">
      <c r="A59" s="116">
        <f t="shared" si="4"/>
        <v>55</v>
      </c>
      <c r="B59" s="188"/>
      <c r="C59" s="112">
        <v>210</v>
      </c>
      <c r="D59" s="176">
        <v>500</v>
      </c>
      <c r="E59" s="177">
        <v>0.06</v>
      </c>
      <c r="F59" s="117">
        <v>0.15</v>
      </c>
      <c r="G59" s="118">
        <f t="shared" si="0"/>
        <v>0.42</v>
      </c>
      <c r="H59" s="178">
        <f t="shared" si="1"/>
        <v>46.666666666666664</v>
      </c>
      <c r="I59" s="170">
        <f t="shared" si="2"/>
        <v>9.3914855054991158</v>
      </c>
      <c r="J59" s="119">
        <f t="shared" si="3"/>
        <v>105</v>
      </c>
      <c r="K59" s="102">
        <v>15.290809551776135</v>
      </c>
      <c r="L59" s="171">
        <v>1.4665866184314011</v>
      </c>
      <c r="M59" s="171">
        <v>19.300787240408972</v>
      </c>
      <c r="N59" s="103">
        <v>2.2717308165366479</v>
      </c>
      <c r="O59" s="179"/>
      <c r="P59" s="179"/>
      <c r="Q59" s="179"/>
      <c r="R59" s="173"/>
      <c r="S59" s="173"/>
      <c r="T59" s="173"/>
      <c r="U59" s="179"/>
      <c r="V59" s="179"/>
      <c r="W59" s="120"/>
      <c r="X59" s="179"/>
      <c r="Y59" s="179"/>
      <c r="Z59" s="102">
        <v>0.87227006699999998</v>
      </c>
      <c r="AA59" s="171">
        <v>0.87870820100000002</v>
      </c>
      <c r="AB59" s="121">
        <v>6.9939981999999998E-2</v>
      </c>
      <c r="AC59" s="178">
        <v>62.769512579999997</v>
      </c>
      <c r="AD59" s="178">
        <v>22.023030550000001</v>
      </c>
      <c r="AE59" s="178">
        <v>70.315803305249403</v>
      </c>
      <c r="AF59" s="178">
        <v>74.642237897831507</v>
      </c>
      <c r="AG59" s="106">
        <v>0.27704674667915002</v>
      </c>
      <c r="AH59" s="107">
        <v>2.0549573715072999E-2</v>
      </c>
      <c r="AI59" s="173">
        <v>1.268274469996622</v>
      </c>
      <c r="AJ59" s="173">
        <v>0.27762771704237321</v>
      </c>
      <c r="AK59" s="113">
        <v>122.2818517</v>
      </c>
      <c r="AL59" s="114">
        <v>5.3635821760000004</v>
      </c>
      <c r="AM59" s="174">
        <v>341.33333333333331</v>
      </c>
      <c r="AN59" s="174">
        <v>13.224556283251582</v>
      </c>
      <c r="AO59" s="108">
        <v>219.16865845494854</v>
      </c>
      <c r="AP59" s="109">
        <v>13.126441952753131</v>
      </c>
      <c r="AQ59" s="110">
        <v>2.8833333333333329</v>
      </c>
      <c r="AR59" s="111">
        <v>0.55595763227865747</v>
      </c>
      <c r="AS59" s="180">
        <v>61</v>
      </c>
      <c r="AT59" s="115">
        <v>5.715476066494082</v>
      </c>
    </row>
    <row r="60" spans="1:46" ht="15.5" customHeight="1">
      <c r="A60" s="116">
        <f t="shared" si="4"/>
        <v>56</v>
      </c>
      <c r="B60" s="188"/>
      <c r="C60" s="112">
        <v>210</v>
      </c>
      <c r="D60" s="176">
        <v>800</v>
      </c>
      <c r="E60" s="177">
        <v>0.06</v>
      </c>
      <c r="F60" s="117">
        <v>0.15</v>
      </c>
      <c r="G60" s="118">
        <f t="shared" si="0"/>
        <v>0.26250000000000001</v>
      </c>
      <c r="H60" s="178">
        <f t="shared" si="1"/>
        <v>29.166666666666668</v>
      </c>
      <c r="I60" s="170">
        <f t="shared" si="2"/>
        <v>7.4246212024587486</v>
      </c>
      <c r="J60" s="119">
        <f t="shared" si="3"/>
        <v>168</v>
      </c>
      <c r="K60" s="102">
        <v>15.315185208879388</v>
      </c>
      <c r="L60" s="171">
        <v>1.2668903803464395</v>
      </c>
      <c r="M60" s="171">
        <v>19.644313695093924</v>
      </c>
      <c r="N60" s="103">
        <v>1.8898221266124899</v>
      </c>
      <c r="O60" s="179"/>
      <c r="P60" s="179"/>
      <c r="Q60" s="179"/>
      <c r="R60" s="173"/>
      <c r="S60" s="173"/>
      <c r="T60" s="173"/>
      <c r="U60" s="179"/>
      <c r="V60" s="179"/>
      <c r="W60" s="120"/>
      <c r="X60" s="179"/>
      <c r="Y60" s="179"/>
      <c r="Z60" s="102">
        <v>0.85895201099999996</v>
      </c>
      <c r="AA60" s="171">
        <v>0.81855972200000005</v>
      </c>
      <c r="AB60" s="121">
        <v>9.1029275000000007E-2</v>
      </c>
      <c r="AC60" s="178">
        <v>65.863830449999995</v>
      </c>
      <c r="AD60" s="178">
        <v>29.625072660000001</v>
      </c>
      <c r="AE60" s="178">
        <v>79.946170296382704</v>
      </c>
      <c r="AF60" s="178">
        <v>109.939189964798</v>
      </c>
      <c r="AG60" s="106">
        <v>0.37357326187309498</v>
      </c>
      <c r="AH60" s="107">
        <v>2.5771581562205801E-2</v>
      </c>
      <c r="AI60" s="173">
        <v>1.2427912846850666</v>
      </c>
      <c r="AJ60" s="173">
        <v>0.11760285834187423</v>
      </c>
      <c r="AK60" s="113">
        <v>116.2662249</v>
      </c>
      <c r="AL60" s="114">
        <v>8.3950181060000002</v>
      </c>
      <c r="AM60" s="174">
        <v>325.33333333333331</v>
      </c>
      <c r="AN60" s="174">
        <v>32.065904356843305</v>
      </c>
      <c r="AO60" s="108">
        <v>219.51542982057472</v>
      </c>
      <c r="AP60" s="109">
        <v>15.997580765659102</v>
      </c>
      <c r="AQ60" s="110">
        <v>2.41</v>
      </c>
      <c r="AR60" s="111">
        <v>0.54460995216760366</v>
      </c>
      <c r="AS60" s="180">
        <v>60.333333333333336</v>
      </c>
      <c r="AT60" s="115">
        <v>4.9216076867444674</v>
      </c>
    </row>
    <row r="61" spans="1:46" ht="15.5" customHeight="1">
      <c r="A61" s="116">
        <f>A60+1</f>
        <v>57</v>
      </c>
      <c r="B61" s="188"/>
      <c r="C61" s="112">
        <v>210</v>
      </c>
      <c r="D61" s="176">
        <v>1100</v>
      </c>
      <c r="E61" s="177">
        <v>0.06</v>
      </c>
      <c r="F61" s="117">
        <v>0.15</v>
      </c>
      <c r="G61" s="118">
        <f t="shared" si="0"/>
        <v>0.19090909090909092</v>
      </c>
      <c r="H61" s="178">
        <f t="shared" si="1"/>
        <v>21.212121212121211</v>
      </c>
      <c r="I61" s="170">
        <f t="shared" si="2"/>
        <v>6.3317382361330354</v>
      </c>
      <c r="J61" s="119">
        <f t="shared" si="3"/>
        <v>231</v>
      </c>
      <c r="K61" s="102">
        <v>12.558326542203201</v>
      </c>
      <c r="L61" s="171">
        <v>2.1341736825796405</v>
      </c>
      <c r="M61" s="171">
        <v>15.973433461520951</v>
      </c>
      <c r="N61" s="103">
        <v>1.9581817293303083</v>
      </c>
      <c r="O61" s="179"/>
      <c r="P61" s="179"/>
      <c r="Q61" s="179"/>
      <c r="R61" s="173"/>
      <c r="S61" s="173"/>
      <c r="T61" s="173"/>
      <c r="U61" s="179"/>
      <c r="V61" s="179"/>
      <c r="W61" s="120"/>
      <c r="X61" s="179"/>
      <c r="Y61" s="179"/>
      <c r="Z61" s="102">
        <v>0.83235273600000004</v>
      </c>
      <c r="AA61" s="171">
        <v>0.51025078800000001</v>
      </c>
      <c r="AB61" s="121">
        <v>0.13031443100000001</v>
      </c>
      <c r="AC61" s="178">
        <v>88.582292469999999</v>
      </c>
      <c r="AD61" s="178">
        <v>72.256705640000007</v>
      </c>
      <c r="AE61" s="178">
        <v>146.669623315037</v>
      </c>
      <c r="AF61" s="178">
        <v>234.33251944099499</v>
      </c>
      <c r="AG61" s="106">
        <v>2.58256063949305</v>
      </c>
      <c r="AH61" s="107">
        <v>8.2850304291726698E-2</v>
      </c>
      <c r="AI61" s="173">
        <v>2.6287212613010045</v>
      </c>
      <c r="AJ61" s="173">
        <v>0.22492666453043697</v>
      </c>
      <c r="AK61" s="113">
        <v>123.45740670000001</v>
      </c>
      <c r="AL61" s="114">
        <v>8.7673067850000006</v>
      </c>
      <c r="AM61" s="174">
        <v>317.66666666666669</v>
      </c>
      <c r="AN61" s="174">
        <v>37.606146069787876</v>
      </c>
      <c r="AO61" s="108">
        <v>210.99629300370566</v>
      </c>
      <c r="AP61" s="109">
        <v>27.586595719342288</v>
      </c>
      <c r="AQ61" s="110">
        <v>2.16</v>
      </c>
      <c r="AR61" s="111">
        <v>0.38609152628187249</v>
      </c>
      <c r="AS61" s="180">
        <v>65</v>
      </c>
      <c r="AT61" s="115">
        <v>4.9665548085837798</v>
      </c>
    </row>
    <row r="62" spans="1:46" ht="15.5" customHeight="1">
      <c r="A62" s="116">
        <f t="shared" si="4"/>
        <v>58</v>
      </c>
      <c r="B62" s="188"/>
      <c r="C62" s="112">
        <v>260</v>
      </c>
      <c r="D62" s="176">
        <v>1100</v>
      </c>
      <c r="E62" s="177">
        <v>0.06</v>
      </c>
      <c r="F62" s="117">
        <v>0.15</v>
      </c>
      <c r="G62" s="118">
        <f t="shared" si="0"/>
        <v>0.23636363636363636</v>
      </c>
      <c r="H62" s="178">
        <f t="shared" si="1"/>
        <v>26.262626262626263</v>
      </c>
      <c r="I62" s="170">
        <f t="shared" si="2"/>
        <v>7.8392949590218537</v>
      </c>
      <c r="J62" s="119">
        <f t="shared" si="3"/>
        <v>286</v>
      </c>
      <c r="K62" s="102">
        <v>15.535898251824689</v>
      </c>
      <c r="L62" s="171">
        <v>2.6292923086499593</v>
      </c>
      <c r="M62" s="171">
        <v>19.428998419434279</v>
      </c>
      <c r="N62" s="103">
        <v>3.2029674589044976</v>
      </c>
      <c r="O62" s="179"/>
      <c r="P62" s="179"/>
      <c r="Q62" s="179"/>
      <c r="R62" s="173"/>
      <c r="S62" s="173"/>
      <c r="T62" s="173"/>
      <c r="U62" s="179"/>
      <c r="V62" s="179"/>
      <c r="W62" s="120"/>
      <c r="X62" s="179"/>
      <c r="Y62" s="179"/>
      <c r="Z62" s="102">
        <v>0.86219733099999996</v>
      </c>
      <c r="AA62" s="171">
        <v>0.85670064599999995</v>
      </c>
      <c r="AB62" s="121">
        <v>9.8417961999999998E-2</v>
      </c>
      <c r="AC62" s="178">
        <v>65.43049431</v>
      </c>
      <c r="AD62" s="178">
        <v>26.96776865</v>
      </c>
      <c r="AE62" s="178">
        <v>76.635578085231202</v>
      </c>
      <c r="AF62" s="178">
        <v>94.892748398425198</v>
      </c>
      <c r="AG62" s="106">
        <v>0.43871983968778</v>
      </c>
      <c r="AH62" s="107">
        <v>3.3488664652015901E-2</v>
      </c>
      <c r="AI62" s="173">
        <v>1.2618984633520647</v>
      </c>
      <c r="AJ62" s="173">
        <v>0.23871385862990147</v>
      </c>
      <c r="AK62" s="113">
        <v>124.4935794</v>
      </c>
      <c r="AL62" s="114">
        <v>9.2316675840000002</v>
      </c>
      <c r="AM62" s="174">
        <v>352.33333333333331</v>
      </c>
      <c r="AN62" s="174">
        <v>23.612614331233114</v>
      </c>
      <c r="AO62" s="108">
        <v>220.22000333401698</v>
      </c>
      <c r="AP62" s="109">
        <v>14.119734189879342</v>
      </c>
      <c r="AQ62" s="110">
        <v>2.9033333333333329</v>
      </c>
      <c r="AR62" s="111">
        <v>0.34393151773120523</v>
      </c>
      <c r="AS62" s="180">
        <v>58.666666666666664</v>
      </c>
      <c r="AT62" s="115">
        <v>3.7712361663282534</v>
      </c>
    </row>
    <row r="63" spans="1:46" ht="15.5" customHeight="1">
      <c r="A63" s="116">
        <f t="shared" si="4"/>
        <v>59</v>
      </c>
      <c r="B63" s="188"/>
      <c r="C63" s="112">
        <v>360</v>
      </c>
      <c r="D63" s="176">
        <v>1100</v>
      </c>
      <c r="E63" s="177">
        <v>0.06</v>
      </c>
      <c r="F63" s="117">
        <v>0.15</v>
      </c>
      <c r="G63" s="118">
        <f t="shared" si="0"/>
        <v>0.32727272727272727</v>
      </c>
      <c r="H63" s="178">
        <f t="shared" si="1"/>
        <v>36.36363636363636</v>
      </c>
      <c r="I63" s="170">
        <f t="shared" si="2"/>
        <v>10.854408404799489</v>
      </c>
      <c r="J63" s="119">
        <f t="shared" si="3"/>
        <v>396</v>
      </c>
      <c r="K63" s="102">
        <v>15.028925968568412</v>
      </c>
      <c r="L63" s="171">
        <v>1.3831310439834277</v>
      </c>
      <c r="M63" s="171">
        <v>18.703748194281815</v>
      </c>
      <c r="N63" s="103">
        <v>1.5604601150985782</v>
      </c>
      <c r="O63" s="179"/>
      <c r="P63" s="179"/>
      <c r="Q63" s="179"/>
      <c r="R63" s="173"/>
      <c r="S63" s="173"/>
      <c r="T63" s="173"/>
      <c r="U63" s="179"/>
      <c r="V63" s="179"/>
      <c r="W63" s="120"/>
      <c r="X63" s="179"/>
      <c r="Y63" s="179"/>
      <c r="Z63" s="102">
        <v>0.91970105300000005</v>
      </c>
      <c r="AA63" s="171">
        <v>0.93203733499999997</v>
      </c>
      <c r="AB63" s="121">
        <v>8.7993978E-2</v>
      </c>
      <c r="AC63" s="178">
        <v>73.536981330000003</v>
      </c>
      <c r="AD63" s="178">
        <v>25.14601554</v>
      </c>
      <c r="AE63" s="178">
        <v>81.815921005380403</v>
      </c>
      <c r="AF63" s="178">
        <v>85.209718899055602</v>
      </c>
      <c r="AG63" s="106">
        <v>1.11602430044875</v>
      </c>
      <c r="AH63" s="107">
        <v>6.9428256110587103E-2</v>
      </c>
      <c r="AI63" s="173">
        <v>1.8223176225735402</v>
      </c>
      <c r="AJ63" s="173">
        <v>0.39656052035373279</v>
      </c>
      <c r="AK63" s="113">
        <v>114.1708747</v>
      </c>
      <c r="AL63" s="114">
        <v>5.4892977790000002</v>
      </c>
      <c r="AM63" s="174">
        <v>325</v>
      </c>
      <c r="AN63" s="174">
        <v>23.280893453645632</v>
      </c>
      <c r="AO63" s="108">
        <v>208.84451125157489</v>
      </c>
      <c r="AP63" s="109">
        <v>9.9856740726867503</v>
      </c>
      <c r="AQ63" s="110">
        <v>2.956666666666667</v>
      </c>
      <c r="AR63" s="111">
        <v>0.49815214097256905</v>
      </c>
      <c r="AS63" s="180">
        <v>57</v>
      </c>
      <c r="AT63" s="115">
        <v>5.715476066494082</v>
      </c>
    </row>
    <row r="64" spans="1:46" ht="16" customHeight="1" thickBot="1">
      <c r="A64" s="122">
        <f>A63+1</f>
        <v>60</v>
      </c>
      <c r="B64" s="189"/>
      <c r="C64" s="123">
        <v>460</v>
      </c>
      <c r="D64" s="124">
        <v>1100</v>
      </c>
      <c r="E64" s="124">
        <v>0.06</v>
      </c>
      <c r="F64" s="125">
        <v>0.15</v>
      </c>
      <c r="G64" s="126">
        <f t="shared" si="0"/>
        <v>0.41818181818181815</v>
      </c>
      <c r="H64" s="127">
        <f t="shared" si="1"/>
        <v>46.464646464646464</v>
      </c>
      <c r="I64" s="128">
        <f t="shared" si="2"/>
        <v>13.869521850577126</v>
      </c>
      <c r="J64" s="129">
        <f t="shared" si="3"/>
        <v>506</v>
      </c>
      <c r="K64" s="130">
        <v>23.743846730456951</v>
      </c>
      <c r="L64" s="131">
        <v>11.367374511526851</v>
      </c>
      <c r="M64" s="131">
        <v>30.010951212176764</v>
      </c>
      <c r="N64" s="132">
        <v>14.333632378424193</v>
      </c>
      <c r="O64" s="133"/>
      <c r="P64" s="133"/>
      <c r="Q64" s="133"/>
      <c r="R64" s="134"/>
      <c r="S64" s="134"/>
      <c r="T64" s="134"/>
      <c r="U64" s="133"/>
      <c r="V64" s="133"/>
      <c r="W64" s="135"/>
      <c r="X64" s="133"/>
      <c r="Y64" s="133"/>
      <c r="Z64" s="130">
        <v>0.92898601400000003</v>
      </c>
      <c r="AA64" s="131">
        <v>0.92489649100000004</v>
      </c>
      <c r="AB64" s="136">
        <v>7.4636129999999995E-2</v>
      </c>
      <c r="AC64" s="127">
        <v>85.069427559999994</v>
      </c>
      <c r="AD64" s="127">
        <v>29.982712329999998</v>
      </c>
      <c r="AE64" s="127">
        <v>95.281849050345997</v>
      </c>
      <c r="AF64" s="127">
        <v>100.39598261300701</v>
      </c>
      <c r="AG64" s="137">
        <v>2.4517305054777898</v>
      </c>
      <c r="AH64" s="138">
        <v>9.1645393377354098E-2</v>
      </c>
      <c r="AI64" s="134">
        <v>3.467896092753818</v>
      </c>
      <c r="AJ64" s="134">
        <v>0.21381853069739964</v>
      </c>
      <c r="AK64" s="139">
        <v>118.3713983</v>
      </c>
      <c r="AL64" s="140">
        <v>7.4152615539999998</v>
      </c>
      <c r="AM64" s="141">
        <v>296</v>
      </c>
      <c r="AN64" s="141">
        <v>18.493242008906929</v>
      </c>
      <c r="AO64" s="142">
        <v>185.52044326462376</v>
      </c>
      <c r="AP64" s="143">
        <v>18.989404072163463</v>
      </c>
      <c r="AQ64" s="144">
        <v>3.0233333333333334</v>
      </c>
      <c r="AR64" s="145">
        <v>0.48527197414325007</v>
      </c>
      <c r="AS64" s="146">
        <v>60</v>
      </c>
      <c r="AT64" s="147">
        <v>3.7416573867739413</v>
      </c>
    </row>
    <row r="65" spans="9:44">
      <c r="K65" s="10"/>
      <c r="L65" s="10"/>
      <c r="M65" s="10"/>
      <c r="N65" s="10"/>
    </row>
    <row r="72" spans="9:44">
      <c r="I72" s="7"/>
      <c r="J72" s="7"/>
      <c r="K72" s="7"/>
      <c r="L72" s="7"/>
      <c r="M72" s="7"/>
      <c r="N72" s="7"/>
      <c r="W72" s="5"/>
      <c r="X72" s="5"/>
      <c r="Y72" s="1"/>
      <c r="Z72" s="8"/>
      <c r="AA72" s="9"/>
      <c r="AB72" s="9"/>
      <c r="AC72" s="9"/>
      <c r="AD72" s="9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  <row r="73" spans="9:44">
      <c r="I73" s="7"/>
      <c r="J73" s="7"/>
      <c r="K73" s="7"/>
      <c r="L73" s="7"/>
      <c r="M73" s="7"/>
      <c r="N73" s="7"/>
      <c r="W73" s="5"/>
      <c r="X73" s="5"/>
      <c r="Y73" s="1"/>
      <c r="Z73" s="8"/>
      <c r="AA73" s="9"/>
      <c r="AB73" s="9"/>
      <c r="AC73" s="9"/>
      <c r="AD73" s="9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</row>
    <row r="74" spans="9:44">
      <c r="I74" s="7"/>
      <c r="J74" s="7"/>
      <c r="K74" s="7"/>
      <c r="L74" s="7"/>
      <c r="M74" s="7"/>
      <c r="N74" s="7"/>
      <c r="W74" s="5"/>
      <c r="X74" s="5"/>
      <c r="Y74" s="1"/>
      <c r="Z74" s="8"/>
      <c r="AA74" s="9"/>
      <c r="AB74" s="9"/>
      <c r="AC74" s="9"/>
      <c r="AD74" s="9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</row>
    <row r="75" spans="9:44">
      <c r="I75" s="7"/>
      <c r="J75" s="7"/>
      <c r="K75" s="7"/>
      <c r="L75" s="7"/>
      <c r="M75" s="7"/>
      <c r="N75" s="7"/>
      <c r="W75" s="5"/>
      <c r="X75" s="5"/>
      <c r="Y75" s="1"/>
      <c r="Z75" s="8"/>
      <c r="AA75" s="9"/>
      <c r="AB75" s="9"/>
      <c r="AC75" s="9"/>
      <c r="AD75" s="9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</row>
    <row r="76" spans="9:44">
      <c r="I76" s="7"/>
      <c r="J76" s="7"/>
      <c r="K76" s="7"/>
      <c r="L76" s="7"/>
      <c r="M76" s="7"/>
      <c r="N76" s="7"/>
      <c r="W76" s="5"/>
      <c r="X76" s="5"/>
      <c r="Y76" s="1"/>
      <c r="Z76" s="8"/>
      <c r="AA76" s="9"/>
      <c r="AB76" s="9"/>
      <c r="AC76" s="9"/>
      <c r="AD76" s="9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</row>
    <row r="77" spans="9:44">
      <c r="I77" s="7"/>
      <c r="J77" s="7"/>
      <c r="K77" s="7"/>
      <c r="L77" s="7"/>
      <c r="M77" s="7"/>
      <c r="N77" s="7"/>
      <c r="W77" s="5"/>
      <c r="X77" s="5"/>
      <c r="Y77" s="1"/>
      <c r="Z77" s="8"/>
      <c r="AA77" s="9"/>
      <c r="AB77" s="9"/>
      <c r="AC77" s="9"/>
      <c r="AD77" s="9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</row>
    <row r="78" spans="9:44">
      <c r="I78" s="7"/>
      <c r="J78" s="7"/>
      <c r="K78" s="7"/>
      <c r="L78" s="7"/>
      <c r="M78" s="7"/>
      <c r="N78" s="7"/>
      <c r="W78" s="5"/>
      <c r="X78" s="5"/>
      <c r="Y78" s="1"/>
      <c r="Z78" s="8"/>
      <c r="AA78" s="9"/>
      <c r="AB78" s="9"/>
      <c r="AC78" s="9"/>
      <c r="AD78" s="9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</row>
    <row r="79" spans="9:44">
      <c r="I79" s="7"/>
      <c r="J79" s="7"/>
      <c r="K79" s="7"/>
      <c r="L79" s="7"/>
      <c r="M79" s="7"/>
      <c r="N79" s="7"/>
      <c r="W79" s="5"/>
      <c r="X79" s="5"/>
      <c r="Y79" s="1"/>
      <c r="Z79" s="8"/>
      <c r="AA79" s="9"/>
      <c r="AB79" s="9"/>
      <c r="AC79" s="9"/>
      <c r="AD79" s="9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</row>
    <row r="80" spans="9:44">
      <c r="I80" s="7"/>
      <c r="J80" s="7"/>
      <c r="K80" s="7"/>
      <c r="L80" s="7"/>
      <c r="M80" s="7"/>
      <c r="N80" s="7"/>
      <c r="W80" s="5"/>
      <c r="X80" s="5"/>
      <c r="Y80" s="1"/>
      <c r="Z80" s="8"/>
      <c r="AA80" s="9"/>
      <c r="AB80" s="9"/>
      <c r="AC80" s="9"/>
      <c r="AD80" s="9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</row>
    <row r="81" spans="9:44">
      <c r="I81" s="7"/>
      <c r="J81" s="7"/>
      <c r="K81" s="7"/>
      <c r="L81" s="7"/>
      <c r="M81" s="7"/>
      <c r="N81" s="7"/>
      <c r="W81" s="5"/>
      <c r="X81" s="5"/>
      <c r="Y81" s="1"/>
      <c r="Z81" s="8"/>
      <c r="AA81" s="9"/>
      <c r="AB81" s="9"/>
      <c r="AC81" s="9"/>
      <c r="AD81" s="9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</row>
    <row r="82" spans="9:44">
      <c r="I82" s="7"/>
      <c r="J82" s="7"/>
      <c r="K82" s="7"/>
      <c r="L82" s="7"/>
      <c r="M82" s="7"/>
      <c r="N82" s="7"/>
      <c r="W82" s="5"/>
      <c r="X82" s="5"/>
      <c r="Y82" s="1"/>
      <c r="Z82" s="8"/>
      <c r="AA82" s="9"/>
      <c r="AB82" s="9"/>
      <c r="AC82" s="9"/>
      <c r="AD82" s="9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</row>
    <row r="83" spans="9:44">
      <c r="I83" s="7"/>
      <c r="J83" s="7"/>
      <c r="K83" s="7"/>
      <c r="L83" s="7"/>
      <c r="M83" s="7"/>
      <c r="N83" s="7"/>
      <c r="W83" s="5"/>
      <c r="X83" s="5"/>
      <c r="Y83" s="1"/>
      <c r="Z83" s="8"/>
      <c r="AA83" s="9"/>
      <c r="AB83" s="9"/>
      <c r="AC83" s="9"/>
      <c r="AD83" s="9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</row>
    <row r="84" spans="9:44">
      <c r="I84" s="7"/>
      <c r="J84" s="7"/>
      <c r="K84" s="7"/>
      <c r="L84" s="7"/>
      <c r="M84" s="7"/>
      <c r="N84" s="7"/>
      <c r="W84" s="5"/>
      <c r="X84" s="5"/>
      <c r="Y84" s="1"/>
      <c r="Z84" s="8"/>
      <c r="AA84" s="9"/>
      <c r="AB84" s="9"/>
      <c r="AC84" s="9"/>
      <c r="AD84" s="9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</row>
    <row r="85" spans="9:44">
      <c r="I85" s="7"/>
      <c r="J85" s="7"/>
      <c r="K85" s="7"/>
      <c r="L85" s="7"/>
      <c r="M85" s="7"/>
      <c r="N85" s="7"/>
      <c r="W85" s="5"/>
      <c r="X85" s="5"/>
      <c r="Y85" s="1"/>
      <c r="Z85" s="8"/>
      <c r="AA85" s="9"/>
      <c r="AB85" s="9"/>
      <c r="AC85" s="9"/>
      <c r="AD85" s="9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</row>
    <row r="86" spans="9:44">
      <c r="I86" s="7"/>
      <c r="J86" s="7"/>
      <c r="K86" s="7"/>
      <c r="L86" s="7"/>
      <c r="M86" s="7"/>
      <c r="N86" s="7"/>
      <c r="W86" s="5"/>
      <c r="X86" s="5"/>
      <c r="Y86" s="1"/>
      <c r="Z86" s="8"/>
      <c r="AA86" s="9"/>
      <c r="AB86" s="9"/>
      <c r="AC86" s="9"/>
      <c r="AD86" s="9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</row>
    <row r="87" spans="9:44">
      <c r="I87" s="7"/>
      <c r="J87" s="7"/>
      <c r="K87" s="7"/>
      <c r="L87" s="7"/>
      <c r="M87" s="7"/>
      <c r="N87" s="7"/>
      <c r="W87" s="5"/>
      <c r="X87" s="5"/>
      <c r="Y87" s="1"/>
      <c r="Z87" s="8"/>
      <c r="AA87" s="9"/>
      <c r="AB87" s="9"/>
      <c r="AC87" s="9"/>
      <c r="AD87" s="9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</row>
    <row r="88" spans="9:44">
      <c r="I88" s="7"/>
      <c r="J88" s="7"/>
      <c r="K88" s="7"/>
      <c r="L88" s="7"/>
      <c r="M88" s="7"/>
      <c r="N88" s="7"/>
      <c r="W88" s="5"/>
      <c r="X88" s="5"/>
      <c r="Y88" s="1"/>
      <c r="Z88" s="8"/>
      <c r="AA88" s="9"/>
      <c r="AB88" s="9"/>
      <c r="AC88" s="9"/>
      <c r="AD88" s="9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</row>
    <row r="89" spans="9:44">
      <c r="I89" s="7"/>
      <c r="J89" s="7"/>
      <c r="K89" s="7"/>
      <c r="L89" s="7"/>
      <c r="M89" s="7"/>
      <c r="N89" s="7"/>
      <c r="W89" s="5"/>
      <c r="X89" s="5"/>
      <c r="Y89" s="1"/>
      <c r="Z89" s="8"/>
      <c r="AA89" s="9"/>
      <c r="AB89" s="9"/>
      <c r="AC89" s="9"/>
      <c r="AD89" s="9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</row>
    <row r="90" spans="9:44">
      <c r="I90" s="7"/>
      <c r="J90" s="7"/>
      <c r="K90" s="7"/>
      <c r="L90" s="7"/>
      <c r="M90" s="7"/>
      <c r="N90" s="7"/>
      <c r="W90" s="5"/>
      <c r="X90" s="5"/>
      <c r="Y90" s="1"/>
      <c r="Z90" s="8"/>
      <c r="AA90" s="9"/>
      <c r="AB90" s="9"/>
      <c r="AC90" s="9"/>
      <c r="AD90" s="9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</row>
    <row r="91" spans="9:44">
      <c r="I91" s="7"/>
      <c r="J91" s="7"/>
      <c r="K91" s="7"/>
      <c r="L91" s="7"/>
      <c r="M91" s="7"/>
      <c r="N91" s="7"/>
      <c r="W91" s="5"/>
      <c r="X91" s="5"/>
      <c r="Y91" s="1"/>
      <c r="Z91" s="8"/>
      <c r="AA91" s="9"/>
      <c r="AB91" s="9"/>
      <c r="AC91" s="9"/>
      <c r="AD91" s="9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</row>
    <row r="92" spans="9:44">
      <c r="I92" s="7"/>
      <c r="J92" s="7"/>
      <c r="K92" s="7"/>
      <c r="L92" s="7"/>
      <c r="M92" s="7"/>
      <c r="N92" s="7"/>
      <c r="W92" s="5"/>
      <c r="X92" s="5"/>
      <c r="Y92" s="1"/>
      <c r="Z92" s="8"/>
      <c r="AA92" s="9"/>
      <c r="AB92" s="9"/>
      <c r="AC92" s="9"/>
      <c r="AD92" s="9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</row>
    <row r="93" spans="9:44">
      <c r="I93" s="7"/>
      <c r="J93" s="7"/>
      <c r="K93" s="7"/>
      <c r="L93" s="7"/>
      <c r="M93" s="7"/>
      <c r="N93" s="7"/>
      <c r="W93" s="5"/>
      <c r="X93" s="5"/>
      <c r="Y93" s="1"/>
      <c r="Z93" s="8"/>
      <c r="AA93" s="9"/>
      <c r="AB93" s="9"/>
      <c r="AC93" s="9"/>
      <c r="AD93" s="9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</row>
    <row r="94" spans="9:44">
      <c r="I94" s="7"/>
      <c r="J94" s="7"/>
      <c r="K94" s="7"/>
      <c r="L94" s="7"/>
      <c r="M94" s="7"/>
      <c r="N94" s="7"/>
      <c r="W94" s="5"/>
      <c r="X94" s="5"/>
      <c r="Y94" s="1"/>
      <c r="Z94" s="8"/>
      <c r="AA94" s="9"/>
      <c r="AB94" s="9"/>
      <c r="AC94" s="9"/>
      <c r="AD94" s="9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</row>
    <row r="95" spans="9:44">
      <c r="I95" s="7"/>
      <c r="J95" s="7"/>
      <c r="K95" s="7"/>
      <c r="L95" s="7"/>
      <c r="M95" s="7"/>
      <c r="N95" s="7"/>
      <c r="W95" s="5"/>
      <c r="X95" s="5"/>
      <c r="Y95" s="1"/>
      <c r="Z95" s="8"/>
      <c r="AA95" s="9"/>
      <c r="AB95" s="9"/>
      <c r="AC95" s="9"/>
      <c r="AD95" s="9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</row>
    <row r="96" spans="9:44">
      <c r="I96" s="7"/>
      <c r="J96" s="7"/>
      <c r="K96" s="7"/>
      <c r="L96" s="7"/>
      <c r="M96" s="7"/>
      <c r="N96" s="7"/>
      <c r="W96" s="5"/>
      <c r="X96" s="5"/>
      <c r="Y96" s="1"/>
      <c r="Z96" s="8"/>
      <c r="AA96" s="9"/>
      <c r="AB96" s="9"/>
      <c r="AC96" s="9"/>
      <c r="AD96" s="9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</row>
    <row r="97" spans="9:44">
      <c r="I97" s="7"/>
      <c r="J97" s="7"/>
      <c r="K97" s="7"/>
      <c r="L97" s="7"/>
      <c r="M97" s="7"/>
      <c r="N97" s="7"/>
      <c r="W97" s="5"/>
      <c r="X97" s="5"/>
      <c r="Y97" s="1"/>
      <c r="Z97" s="8"/>
      <c r="AA97" s="9"/>
      <c r="AB97" s="9"/>
      <c r="AC97" s="9"/>
      <c r="AD97" s="9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</row>
    <row r="98" spans="9:44">
      <c r="I98" s="7"/>
      <c r="J98" s="7"/>
      <c r="K98" s="7"/>
      <c r="L98" s="7"/>
      <c r="M98" s="7"/>
      <c r="N98" s="7"/>
      <c r="W98" s="5"/>
      <c r="X98" s="5"/>
      <c r="Y98" s="1"/>
      <c r="Z98" s="8"/>
      <c r="AA98" s="9"/>
      <c r="AB98" s="9"/>
      <c r="AC98" s="9"/>
      <c r="AD98" s="9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</row>
    <row r="99" spans="9:44">
      <c r="I99" s="7"/>
      <c r="J99" s="7"/>
      <c r="K99" s="7"/>
      <c r="L99" s="7"/>
      <c r="M99" s="7"/>
      <c r="N99" s="7"/>
      <c r="W99" s="5"/>
      <c r="X99" s="5"/>
      <c r="Y99" s="1"/>
      <c r="Z99" s="8"/>
      <c r="AA99" s="9"/>
      <c r="AB99" s="9"/>
      <c r="AC99" s="9"/>
      <c r="AD99" s="9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</row>
    <row r="100" spans="9:44">
      <c r="I100" s="7"/>
      <c r="J100" s="7"/>
      <c r="K100" s="7"/>
      <c r="L100" s="7"/>
      <c r="M100" s="7"/>
      <c r="N100" s="7"/>
      <c r="W100" s="5"/>
      <c r="X100" s="5"/>
      <c r="Y100" s="1"/>
      <c r="Z100" s="8"/>
      <c r="AA100" s="9"/>
      <c r="AB100" s="9"/>
      <c r="AC100" s="9"/>
      <c r="AD100" s="9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</row>
    <row r="101" spans="9:44">
      <c r="I101" s="7"/>
      <c r="J101" s="7"/>
      <c r="K101" s="7"/>
      <c r="L101" s="7"/>
      <c r="M101" s="7"/>
      <c r="N101" s="7"/>
      <c r="W101" s="5"/>
      <c r="X101" s="5"/>
      <c r="Y101" s="1"/>
      <c r="Z101" s="8"/>
      <c r="AA101" s="9"/>
      <c r="AB101" s="9"/>
      <c r="AC101" s="9"/>
      <c r="AD101" s="9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</row>
    <row r="102" spans="9:44">
      <c r="I102" s="7"/>
      <c r="J102" s="7"/>
      <c r="K102" s="7"/>
      <c r="L102" s="7"/>
      <c r="M102" s="7"/>
      <c r="N102" s="7"/>
      <c r="W102" s="5"/>
      <c r="X102" s="5"/>
      <c r="Y102" s="1"/>
      <c r="Z102" s="8"/>
      <c r="AA102" s="9"/>
      <c r="AB102" s="9"/>
      <c r="AC102" s="9"/>
      <c r="AD102" s="9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</row>
    <row r="103" spans="9:44">
      <c r="I103" s="7"/>
      <c r="J103" s="7"/>
      <c r="K103" s="7"/>
      <c r="L103" s="7"/>
      <c r="M103" s="7"/>
      <c r="N103" s="7"/>
      <c r="W103" s="5"/>
      <c r="X103" s="5"/>
      <c r="Y103" s="1"/>
      <c r="Z103" s="8"/>
      <c r="AA103" s="9"/>
      <c r="AB103" s="9"/>
      <c r="AC103" s="9"/>
      <c r="AD103" s="9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</row>
    <row r="104" spans="9:44">
      <c r="I104" s="7"/>
      <c r="J104" s="7"/>
      <c r="K104" s="7"/>
      <c r="L104" s="7"/>
      <c r="M104" s="7"/>
      <c r="N104" s="7"/>
      <c r="W104" s="5"/>
      <c r="X104" s="5"/>
      <c r="Y104" s="1"/>
      <c r="Z104" s="8"/>
      <c r="AA104" s="9"/>
      <c r="AB104" s="9"/>
      <c r="AC104" s="9"/>
      <c r="AD104" s="9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</row>
    <row r="105" spans="9:44">
      <c r="I105" s="7"/>
      <c r="J105" s="7"/>
      <c r="K105" s="7"/>
      <c r="L105" s="7"/>
      <c r="M105" s="7"/>
      <c r="N105" s="7"/>
      <c r="W105" s="5"/>
      <c r="X105" s="5"/>
      <c r="Y105" s="1"/>
      <c r="Z105" s="8"/>
      <c r="AA105" s="9"/>
      <c r="AB105" s="9"/>
      <c r="AC105" s="9"/>
      <c r="AD105" s="9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</row>
    <row r="106" spans="9:44">
      <c r="I106" s="7"/>
      <c r="J106" s="7"/>
      <c r="K106" s="7"/>
      <c r="L106" s="7"/>
      <c r="M106" s="7"/>
      <c r="N106" s="7"/>
      <c r="W106" s="5"/>
      <c r="X106" s="5"/>
      <c r="Y106" s="1"/>
      <c r="Z106" s="8"/>
      <c r="AA106" s="9"/>
      <c r="AB106" s="9"/>
      <c r="AC106" s="9"/>
      <c r="AD106" s="9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</row>
    <row r="107" spans="9:44">
      <c r="I107" s="7"/>
      <c r="J107" s="7"/>
      <c r="K107" s="7"/>
      <c r="L107" s="7"/>
      <c r="M107" s="7"/>
      <c r="N107" s="7"/>
      <c r="W107" s="5"/>
      <c r="X107" s="5"/>
      <c r="Y107" s="1"/>
      <c r="Z107" s="8"/>
      <c r="AA107" s="9"/>
      <c r="AB107" s="9"/>
      <c r="AC107" s="9"/>
      <c r="AD107" s="9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</row>
    <row r="108" spans="9:44">
      <c r="I108" s="7"/>
      <c r="J108" s="7"/>
      <c r="K108" s="7"/>
      <c r="L108" s="7"/>
      <c r="M108" s="7"/>
      <c r="N108" s="7"/>
      <c r="W108" s="5"/>
      <c r="X108" s="5"/>
      <c r="Y108" s="1"/>
      <c r="Z108" s="8"/>
      <c r="AA108" s="9"/>
      <c r="AB108" s="9"/>
      <c r="AC108" s="9"/>
      <c r="AD108" s="9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</row>
    <row r="109" spans="9:44">
      <c r="I109" s="7"/>
      <c r="J109" s="7"/>
      <c r="K109" s="7"/>
      <c r="L109" s="7"/>
      <c r="M109" s="7"/>
      <c r="N109" s="7"/>
      <c r="W109" s="5"/>
      <c r="X109" s="5"/>
      <c r="Y109" s="1"/>
      <c r="Z109" s="8"/>
      <c r="AA109" s="9"/>
      <c r="AB109" s="9"/>
      <c r="AC109" s="9"/>
      <c r="AD109" s="9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</row>
    <row r="110" spans="9:44">
      <c r="I110" s="7"/>
      <c r="J110" s="7"/>
      <c r="K110" s="7"/>
      <c r="L110" s="7"/>
      <c r="M110" s="7"/>
      <c r="N110" s="7"/>
      <c r="W110" s="5"/>
      <c r="X110" s="5"/>
      <c r="Y110" s="1"/>
      <c r="Z110" s="8"/>
      <c r="AA110" s="9"/>
      <c r="AB110" s="9"/>
      <c r="AC110" s="9"/>
      <c r="AD110" s="9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</row>
    <row r="111" spans="9:44">
      <c r="I111" s="7"/>
      <c r="J111" s="7"/>
      <c r="K111" s="7"/>
      <c r="L111" s="7"/>
      <c r="M111" s="7"/>
      <c r="N111" s="7"/>
      <c r="W111" s="5"/>
      <c r="X111" s="5"/>
      <c r="Y111" s="1"/>
      <c r="Z111" s="8"/>
      <c r="AA111" s="9"/>
      <c r="AB111" s="9"/>
      <c r="AC111" s="9"/>
      <c r="AD111" s="9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</row>
    <row r="112" spans="9:44">
      <c r="I112" s="7"/>
      <c r="J112" s="7"/>
      <c r="K112" s="7"/>
      <c r="L112" s="7"/>
      <c r="M112" s="7"/>
      <c r="N112" s="7"/>
      <c r="W112" s="5"/>
      <c r="X112" s="5"/>
      <c r="Y112" s="1"/>
      <c r="Z112" s="8"/>
      <c r="AA112" s="9"/>
      <c r="AB112" s="9"/>
      <c r="AC112" s="9"/>
      <c r="AD112" s="9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</row>
  </sheetData>
  <sortState xmlns:xlrd2="http://schemas.microsoft.com/office/spreadsheetml/2017/richdata2" ref="A5:AR46">
    <sortCondition ref="A5:A46"/>
  </sortState>
  <mergeCells count="29">
    <mergeCell ref="B5:B36"/>
    <mergeCell ref="B37:B64"/>
    <mergeCell ref="A2:B4"/>
    <mergeCell ref="A1:J1"/>
    <mergeCell ref="AK1:AT1"/>
    <mergeCell ref="AM2:AT2"/>
    <mergeCell ref="C2:F3"/>
    <mergeCell ref="G2:J3"/>
    <mergeCell ref="AK2:AL3"/>
    <mergeCell ref="AC3:AE3"/>
    <mergeCell ref="AG3:AH3"/>
    <mergeCell ref="Z3:AB3"/>
    <mergeCell ref="AO3:AP3"/>
    <mergeCell ref="AQ3:AR3"/>
    <mergeCell ref="O2:W2"/>
    <mergeCell ref="Z2:AH2"/>
    <mergeCell ref="AI2:AJ2"/>
    <mergeCell ref="AS3:AT3"/>
    <mergeCell ref="AM3:AN3"/>
    <mergeCell ref="U3:W3"/>
    <mergeCell ref="O3:Q3"/>
    <mergeCell ref="R3:T3"/>
    <mergeCell ref="AI3:AJ3"/>
    <mergeCell ref="X3:Y3"/>
    <mergeCell ref="K3:L3"/>
    <mergeCell ref="M3:N3"/>
    <mergeCell ref="K1:AJ1"/>
    <mergeCell ref="K2:N2"/>
    <mergeCell ref="X2:Y2"/>
  </mergeCells>
  <phoneticPr fontId="3" type="noConversion"/>
  <pageMargins left="0" right="0" top="0" bottom="0" header="0" footer="0"/>
  <pageSetup fitToWidth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E2816E44124D4EAC50EE55289EDB1B" ma:contentTypeVersion="13" ma:contentTypeDescription="Create a new document." ma:contentTypeScope="" ma:versionID="898a625b8ff82241918a1fa6de43b1db">
  <xsd:schema xmlns:xsd="http://www.w3.org/2001/XMLSchema" xmlns:xs="http://www.w3.org/2001/XMLSchema" xmlns:p="http://schemas.microsoft.com/office/2006/metadata/properties" xmlns:ns2="e590fea8-b43e-4be5-abf1-9cc087fb0ca9" xmlns:ns3="6de238ee-0c3b-46c4-ae48-b7b3be2bec59" targetNamespace="http://schemas.microsoft.com/office/2006/metadata/properties" ma:root="true" ma:fieldsID="3db8fc972c838a7f92a0685859fd739c" ns2:_="" ns3:_="">
    <xsd:import namespace="e590fea8-b43e-4be5-abf1-9cc087fb0ca9"/>
    <xsd:import namespace="6de238ee-0c3b-46c4-ae48-b7b3be2bec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90fea8-b43e-4be5-abf1-9cc087fb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238ee-0c3b-46c4-ae48-b7b3be2bec5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2185A1-4F1C-45C2-A969-0D14D8595A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C086A6-8299-49C6-866B-6F1EA1FA89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90fea8-b43e-4be5-abf1-9cc087fb0ca9"/>
    <ds:schemaRef ds:uri="6de238ee-0c3b-46c4-ae48-b7b3be2bec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3D561D-CD96-43D2-818C-8FA278172E90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e590fea8-b43e-4be5-abf1-9cc087fb0ca9"/>
    <ds:schemaRef ds:uri="http://schemas.openxmlformats.org/package/2006/metadata/core-properties"/>
    <ds:schemaRef ds:uri="6de238ee-0c3b-46c4-ae48-b7b3be2bec59"/>
  </ds:schemaRefs>
</ds:datastoreItem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PSP linkage</vt:lpstr>
      <vt:lpstr>'PSP linkage'!Print_Area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Luo, Qixiang</cp:lastModifiedBy>
  <cp:revision/>
  <cp:lastPrinted>2021-09-14T21:35:12Z</cp:lastPrinted>
  <dcterms:created xsi:type="dcterms:W3CDTF">2021-06-25T16:54:00Z</dcterms:created>
  <dcterms:modified xsi:type="dcterms:W3CDTF">2023-10-16T14:31:55Z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  <property fmtid="{D5CDD505-2E9C-101B-9397-08002B2CF9AE}" pid="3" name="ContentTypeId">
    <vt:lpwstr>0x0101004AE2816E44124D4EAC50EE55289EDB1B</vt:lpwstr>
  </property>
  <property fmtid="{D5CDD505-2E9C-101B-9397-08002B2CF9AE}" pid="4" name="Order">
    <vt:r8>273200</vt:r8>
  </property>
</Properties>
</file>